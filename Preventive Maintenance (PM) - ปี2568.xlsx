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watchara.kid\Downloads\"/>
    </mc:Choice>
  </mc:AlternateContent>
  <xr:revisionPtr revIDLastSave="0" documentId="13_ncr:1_{39DAD9F0-740E-495B-9732-F783EF08B9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ashboard" sheetId="4" r:id="rId2"/>
  </sheets>
  <definedNames>
    <definedName name="prevWBS" localSheetId="1">Dashboard!$A1048576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4" l="1"/>
  <c r="D32" i="4"/>
  <c r="D30" i="4"/>
  <c r="D21" i="4"/>
  <c r="D11" i="4"/>
  <c r="D45" i="4"/>
  <c r="D46" i="4"/>
  <c r="D44" i="4"/>
  <c r="D64" i="4"/>
  <c r="D63" i="4" s="1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48" i="4"/>
  <c r="D42" i="4"/>
  <c r="D41" i="4"/>
  <c r="D38" i="4"/>
  <c r="D39" i="4"/>
  <c r="D37" i="4"/>
  <c r="D35" i="4"/>
  <c r="D27" i="4"/>
  <c r="D28" i="4"/>
  <c r="D29" i="4"/>
  <c r="D31" i="4"/>
  <c r="D33" i="4"/>
  <c r="D34" i="4"/>
  <c r="D26" i="4"/>
  <c r="D10" i="4"/>
  <c r="D12" i="4"/>
  <c r="D13" i="4"/>
  <c r="D14" i="4"/>
  <c r="D15" i="4"/>
  <c r="D16" i="4"/>
  <c r="D17" i="4"/>
  <c r="D18" i="4"/>
  <c r="D19" i="4"/>
  <c r="D9" i="4"/>
  <c r="D24" i="4"/>
  <c r="D23" i="4"/>
  <c r="D22" i="4" s="1"/>
  <c r="H24" i="4"/>
  <c r="K24" i="4" s="1"/>
  <c r="H23" i="4"/>
  <c r="K23" i="4" s="1"/>
  <c r="H22" i="4"/>
  <c r="K22" i="4" s="1"/>
  <c r="F40" i="4"/>
  <c r="D20" i="4"/>
  <c r="H65" i="4"/>
  <c r="K65" i="4" s="1"/>
  <c r="H64" i="4"/>
  <c r="K64" i="4" s="1"/>
  <c r="H63" i="4"/>
  <c r="K63" i="4" s="1"/>
  <c r="H62" i="4"/>
  <c r="K62" i="4" s="1"/>
  <c r="H61" i="4"/>
  <c r="K61" i="4" s="1"/>
  <c r="H60" i="4"/>
  <c r="K60" i="4" s="1"/>
  <c r="H59" i="4"/>
  <c r="K59" i="4" s="1"/>
  <c r="H58" i="4"/>
  <c r="K58" i="4" s="1"/>
  <c r="H57" i="4"/>
  <c r="K57" i="4" s="1"/>
  <c r="H56" i="4"/>
  <c r="K56" i="4" s="1"/>
  <c r="H55" i="4"/>
  <c r="K55" i="4" s="1"/>
  <c r="H54" i="4"/>
  <c r="K54" i="4" s="1"/>
  <c r="H53" i="4"/>
  <c r="K53" i="4" s="1"/>
  <c r="H52" i="4"/>
  <c r="K52" i="4" s="1"/>
  <c r="H51" i="4"/>
  <c r="K51" i="4" s="1"/>
  <c r="H50" i="4"/>
  <c r="K50" i="4" s="1"/>
  <c r="H49" i="4"/>
  <c r="K49" i="4" s="1"/>
  <c r="H48" i="4"/>
  <c r="K48" i="4" s="1"/>
  <c r="H47" i="4"/>
  <c r="K47" i="4" s="1"/>
  <c r="H46" i="4"/>
  <c r="K46" i="4" s="1"/>
  <c r="H45" i="4"/>
  <c r="K45" i="4" s="1"/>
  <c r="H44" i="4"/>
  <c r="K44" i="4" s="1"/>
  <c r="H43" i="4"/>
  <c r="K43" i="4" s="1"/>
  <c r="H42" i="4"/>
  <c r="K42" i="4" s="1"/>
  <c r="H41" i="4"/>
  <c r="K41" i="4" s="1"/>
  <c r="H40" i="4"/>
  <c r="K40" i="4" s="1"/>
  <c r="H39" i="4"/>
  <c r="K39" i="4" s="1"/>
  <c r="H38" i="4"/>
  <c r="K38" i="4" s="1"/>
  <c r="H37" i="4"/>
  <c r="K37" i="4" s="1"/>
  <c r="I36" i="4"/>
  <c r="H36" i="4"/>
  <c r="K36" i="4" s="1"/>
  <c r="H35" i="4"/>
  <c r="K35" i="4" s="1"/>
  <c r="H34" i="4"/>
  <c r="K34" i="4" s="1"/>
  <c r="H33" i="4"/>
  <c r="K33" i="4" s="1"/>
  <c r="H32" i="4"/>
  <c r="K32" i="4" s="1"/>
  <c r="H31" i="4"/>
  <c r="K31" i="4" s="1"/>
  <c r="H30" i="4"/>
  <c r="K30" i="4" s="1"/>
  <c r="H29" i="4"/>
  <c r="K29" i="4" s="1"/>
  <c r="H28" i="4"/>
  <c r="K28" i="4" s="1"/>
  <c r="H27" i="4"/>
  <c r="K27" i="4" s="1"/>
  <c r="H26" i="4"/>
  <c r="K26" i="4" s="1"/>
  <c r="I25" i="4"/>
  <c r="H25" i="4"/>
  <c r="K25" i="4" s="1"/>
  <c r="H21" i="4"/>
  <c r="K21" i="4" s="1"/>
  <c r="I20" i="4"/>
  <c r="H20" i="4"/>
  <c r="K20" i="4" s="1"/>
  <c r="H19" i="4"/>
  <c r="K19" i="4" s="1"/>
  <c r="H18" i="4"/>
  <c r="K18" i="4" s="1"/>
  <c r="H17" i="4"/>
  <c r="K17" i="4" s="1"/>
  <c r="H16" i="4"/>
  <c r="K16" i="4" s="1"/>
  <c r="H15" i="4"/>
  <c r="K15" i="4" s="1"/>
  <c r="H14" i="4"/>
  <c r="K14" i="4" s="1"/>
  <c r="H13" i="4"/>
  <c r="K13" i="4" s="1"/>
  <c r="H12" i="4"/>
  <c r="K12" i="4" s="1"/>
  <c r="H11" i="4"/>
  <c r="K11" i="4" s="1"/>
  <c r="H10" i="4"/>
  <c r="K10" i="4" s="1"/>
  <c r="H9" i="4"/>
  <c r="K9" i="4" s="1"/>
  <c r="I8" i="4"/>
  <c r="H8" i="4"/>
  <c r="K8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M6" i="4"/>
  <c r="M4" i="4" s="1"/>
  <c r="M5" i="4"/>
  <c r="E17" i="4" l="1"/>
  <c r="E30" i="4"/>
  <c r="E56" i="4"/>
  <c r="E62" i="4"/>
  <c r="E29" i="4"/>
  <c r="E34" i="4"/>
  <c r="E35" i="4"/>
  <c r="E28" i="4"/>
  <c r="D8" i="4"/>
  <c r="E33" i="4"/>
  <c r="E27" i="4"/>
  <c r="E32" i="4"/>
  <c r="E31" i="4"/>
  <c r="E26" i="4"/>
  <c r="F26" i="4" s="1"/>
  <c r="E21" i="4"/>
  <c r="F21" i="4" s="1"/>
  <c r="F20" i="4" s="1"/>
  <c r="E24" i="4"/>
  <c r="F24" i="4" s="1"/>
  <c r="E23" i="4"/>
  <c r="D43" i="4"/>
  <c r="E61" i="4"/>
  <c r="E64" i="4"/>
  <c r="F64" i="4" s="1"/>
  <c r="E59" i="4"/>
  <c r="E60" i="4"/>
  <c r="E57" i="4"/>
  <c r="E55" i="4"/>
  <c r="E52" i="4"/>
  <c r="E58" i="4"/>
  <c r="E53" i="4"/>
  <c r="E49" i="4"/>
  <c r="E48" i="4"/>
  <c r="F48" i="4" s="1"/>
  <c r="E50" i="4"/>
  <c r="E54" i="4"/>
  <c r="E15" i="4"/>
  <c r="F15" i="4" s="1"/>
  <c r="E16" i="4"/>
  <c r="J16" i="4" s="1"/>
  <c r="E19" i="4"/>
  <c r="F19" i="4" s="1"/>
  <c r="E51" i="4"/>
  <c r="J23" i="4"/>
  <c r="A22" i="4"/>
  <c r="A23" i="4" s="1"/>
  <c r="D40" i="4"/>
  <c r="D25" i="4"/>
  <c r="D36" i="4"/>
  <c r="D47" i="4"/>
  <c r="E14" i="4"/>
  <c r="J14" i="4" s="1"/>
  <c r="E11" i="4"/>
  <c r="F11" i="4" s="1"/>
  <c r="E45" i="4"/>
  <c r="J45" i="4" s="1"/>
  <c r="E46" i="4"/>
  <c r="J46" i="4" s="1"/>
  <c r="E10" i="4"/>
  <c r="J10" i="4" s="1"/>
  <c r="E12" i="4"/>
  <c r="F12" i="4" s="1"/>
  <c r="E9" i="4"/>
  <c r="E13" i="4"/>
  <c r="F13" i="4" s="1"/>
  <c r="F18" i="4"/>
  <c r="F17" i="4"/>
  <c r="E5" i="4"/>
  <c r="E41" i="4"/>
  <c r="J41" i="4" s="1"/>
  <c r="E42" i="4"/>
  <c r="J42" i="4" s="1"/>
  <c r="E44" i="4"/>
  <c r="J44" i="4" s="1"/>
  <c r="J17" i="4"/>
  <c r="M7" i="4"/>
  <c r="N6" i="4"/>
  <c r="J18" i="4"/>
  <c r="J24" i="4" l="1"/>
  <c r="C5" i="4"/>
  <c r="F14" i="4"/>
  <c r="J64" i="4"/>
  <c r="F16" i="4"/>
  <c r="J12" i="4"/>
  <c r="J21" i="4"/>
  <c r="E8" i="4"/>
  <c r="E20" i="4"/>
  <c r="E25" i="4"/>
  <c r="F9" i="4"/>
  <c r="F23" i="4"/>
  <c r="F22" i="4" s="1"/>
  <c r="E22" i="4"/>
  <c r="J15" i="4"/>
  <c r="J19" i="4"/>
  <c r="J9" i="4"/>
  <c r="J11" i="4"/>
  <c r="F10" i="4"/>
  <c r="J13" i="4"/>
  <c r="E47" i="4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G5" i="4"/>
  <c r="E40" i="4"/>
  <c r="N7" i="4"/>
  <c r="O6" i="4"/>
  <c r="F8" i="4" l="1"/>
  <c r="O7" i="4"/>
  <c r="P6" i="4"/>
  <c r="P7" i="4" l="1"/>
  <c r="Q6" i="4"/>
  <c r="Q7" i="4" l="1"/>
  <c r="R6" i="4"/>
  <c r="R7" i="4" l="1"/>
  <c r="S6" i="4"/>
  <c r="S7" i="4" l="1"/>
  <c r="T6" i="4"/>
  <c r="T7" i="4" l="1"/>
  <c r="U6" i="4"/>
  <c r="T5" i="4"/>
  <c r="T4" i="4"/>
  <c r="U7" i="4" l="1"/>
  <c r="V6" i="4"/>
  <c r="V7" i="4" l="1"/>
  <c r="W6" i="4"/>
  <c r="W7" i="4" l="1"/>
  <c r="X6" i="4"/>
  <c r="X7" i="4" l="1"/>
  <c r="Y6" i="4"/>
  <c r="Y7" i="4" l="1"/>
  <c r="Z6" i="4"/>
  <c r="Z7" i="4" l="1"/>
  <c r="AA6" i="4"/>
  <c r="AA7" i="4" l="1"/>
  <c r="AB6" i="4"/>
  <c r="AA5" i="4"/>
  <c r="AA4" i="4"/>
  <c r="AB7" i="4" l="1"/>
  <c r="AC6" i="4"/>
  <c r="AC7" i="4" l="1"/>
  <c r="AD6" i="4"/>
  <c r="AD7" i="4" l="1"/>
  <c r="AE6" i="4"/>
  <c r="AE7" i="4" l="1"/>
  <c r="AF6" i="4"/>
  <c r="AF7" i="4" l="1"/>
  <c r="AG6" i="4"/>
  <c r="AG7" i="4" l="1"/>
  <c r="AH6" i="4"/>
  <c r="AH7" i="4" l="1"/>
  <c r="AI6" i="4"/>
  <c r="AH5" i="4"/>
  <c r="AH4" i="4"/>
  <c r="AI7" i="4" l="1"/>
  <c r="AJ6" i="4"/>
  <c r="AJ7" i="4" l="1"/>
  <c r="AK6" i="4"/>
  <c r="AK7" i="4" l="1"/>
  <c r="AL6" i="4"/>
  <c r="AL7" i="4" l="1"/>
  <c r="AM6" i="4"/>
  <c r="AM7" i="4" l="1"/>
  <c r="AN6" i="4"/>
  <c r="AN7" i="4" l="1"/>
  <c r="AO6" i="4"/>
  <c r="AO7" i="4" l="1"/>
  <c r="AP6" i="4"/>
  <c r="AO5" i="4"/>
  <c r="AO4" i="4"/>
  <c r="AP7" i="4" l="1"/>
  <c r="AQ6" i="4"/>
  <c r="AQ7" i="4" l="1"/>
  <c r="AR6" i="4"/>
  <c r="AR7" i="4" l="1"/>
  <c r="AS6" i="4"/>
  <c r="AS7" i="4" l="1"/>
  <c r="AT6" i="4"/>
  <c r="AT7" i="4" l="1"/>
  <c r="AU6" i="4"/>
  <c r="AU7" i="4" l="1"/>
  <c r="AV6" i="4"/>
  <c r="AV7" i="4" l="1"/>
  <c r="AW6" i="4"/>
  <c r="AV5" i="4"/>
  <c r="AV4" i="4"/>
  <c r="AW7" i="4" l="1"/>
  <c r="AX6" i="4"/>
  <c r="AX7" i="4" l="1"/>
  <c r="AY6" i="4"/>
  <c r="AY7" i="4" l="1"/>
  <c r="AZ6" i="4"/>
  <c r="AZ7" i="4" l="1"/>
  <c r="BA6" i="4"/>
  <c r="BA7" i="4" l="1"/>
  <c r="BB6" i="4"/>
  <c r="BB7" i="4" l="1"/>
  <c r="BC6" i="4"/>
  <c r="BC7" i="4" l="1"/>
  <c r="BD6" i="4"/>
  <c r="BC5" i="4"/>
  <c r="BC4" i="4"/>
  <c r="BD7" i="4" l="1"/>
  <c r="BE6" i="4"/>
  <c r="BE7" i="4" l="1"/>
  <c r="BF6" i="4"/>
  <c r="BF7" i="4" l="1"/>
  <c r="BG6" i="4"/>
  <c r="BG7" i="4" l="1"/>
  <c r="BH6" i="4"/>
  <c r="BH7" i="4" l="1"/>
  <c r="BI6" i="4"/>
  <c r="BI7" i="4" l="1"/>
  <c r="BJ6" i="4"/>
  <c r="BJ7" i="4" l="1"/>
  <c r="BK6" i="4"/>
  <c r="BJ5" i="4"/>
  <c r="BJ4" i="4"/>
  <c r="BK7" i="4" l="1"/>
  <c r="BL6" i="4"/>
  <c r="BL7" i="4" l="1"/>
  <c r="BM6" i="4"/>
  <c r="BM7" i="4" l="1"/>
  <c r="BN6" i="4"/>
  <c r="BN7" i="4" l="1"/>
  <c r="BO6" i="4"/>
  <c r="BO7" i="4" l="1"/>
  <c r="BP6" i="4"/>
  <c r="BP7" i="4" s="1"/>
  <c r="J26" i="4"/>
  <c r="F27" i="4"/>
  <c r="J27" i="4"/>
  <c r="F28" i="4"/>
  <c r="J28" i="4"/>
  <c r="F29" i="4"/>
  <c r="J29" i="4"/>
  <c r="F30" i="4"/>
  <c r="J30" i="4"/>
  <c r="F31" i="4"/>
  <c r="J31" i="4"/>
  <c r="F32" i="4"/>
  <c r="J32" i="4"/>
  <c r="F33" i="4"/>
  <c r="J33" i="4"/>
  <c r="F34" i="4"/>
  <c r="J34" i="4"/>
  <c r="F35" i="4"/>
  <c r="J35" i="4"/>
  <c r="F25" i="4" l="1"/>
  <c r="J48" i="4"/>
  <c r="F50" i="4"/>
  <c r="J50" i="4"/>
  <c r="F51" i="4"/>
  <c r="J51" i="4"/>
  <c r="F52" i="4"/>
  <c r="J52" i="4"/>
  <c r="F53" i="4"/>
  <c r="J53" i="4"/>
  <c r="F54" i="4"/>
  <c r="J54" i="4"/>
  <c r="F55" i="4"/>
  <c r="J55" i="4"/>
  <c r="F56" i="4"/>
  <c r="J56" i="4"/>
  <c r="F57" i="4"/>
  <c r="J57" i="4"/>
  <c r="F58" i="4"/>
  <c r="J58" i="4"/>
  <c r="F59" i="4"/>
  <c r="J59" i="4"/>
  <c r="F60" i="4"/>
  <c r="J60" i="4"/>
  <c r="F61" i="4"/>
  <c r="J61" i="4"/>
  <c r="F62" i="4"/>
  <c r="J62" i="4"/>
  <c r="J49" i="4"/>
  <c r="F49" i="4"/>
  <c r="F47" i="4" l="1"/>
  <c r="F38" i="4" l="1"/>
  <c r="E38" i="4"/>
  <c r="J38" i="4"/>
  <c r="F36" i="4"/>
  <c r="F39" i="4"/>
  <c r="E39" i="4"/>
  <c r="J39" i="4"/>
  <c r="E36" i="4"/>
  <c r="F37" i="4"/>
  <c r="E37" i="4"/>
  <c r="J37" i="4"/>
</calcChain>
</file>

<file path=xl/sharedStrings.xml><?xml version="1.0" encoding="utf-8"?>
<sst xmlns="http://schemas.openxmlformats.org/spreadsheetml/2006/main" count="3972" uniqueCount="869">
  <si>
    <t>Email</t>
  </si>
  <si>
    <t>Name</t>
  </si>
  <si>
    <t>Change Computer Name</t>
  </si>
  <si>
    <t>Computer Name</t>
  </si>
  <si>
    <t>Monitor Name 1</t>
  </si>
  <si>
    <t>Brand</t>
  </si>
  <si>
    <t>Model</t>
  </si>
  <si>
    <t>Service Tag</t>
  </si>
  <si>
    <t>Monitor Name 2</t>
  </si>
  <si>
    <t>Brand1</t>
  </si>
  <si>
    <t>Model1</t>
  </si>
  <si>
    <t>Service Tag1</t>
  </si>
  <si>
    <t>Windows</t>
  </si>
  <si>
    <t>Windows Activate ?</t>
  </si>
  <si>
    <t>Windows version (winver)</t>
  </si>
  <si>
    <t>Office </t>
  </si>
  <si>
    <t>Office Activate?</t>
  </si>
  <si>
    <t>update anti virus ?</t>
  </si>
  <si>
    <t>IP Phone</t>
  </si>
  <si>
    <t>Printer Local ?</t>
  </si>
  <si>
    <t>UPS ?</t>
  </si>
  <si>
    <t>Install agent GLPI 1.6/1.7</t>
  </si>
  <si>
    <t>Install agent spicework</t>
  </si>
  <si>
    <t>Change password admin local</t>
  </si>
  <si>
    <t>Check USB Policy</t>
  </si>
  <si>
    <t>PC Audit</t>
  </si>
  <si>
    <t>HW info</t>
  </si>
  <si>
    <t>Cleaning Device?</t>
  </si>
  <si>
    <t>ปัญหาการใช้งาน มีไหม</t>
  </si>
  <si>
    <t>Customer Satisfaction</t>
  </si>
  <si>
    <t>Staff Service</t>
  </si>
  <si>
    <t>asawin.ima@trrgroup.com</t>
  </si>
  <si>
    <t>Asawin Imaromkul</t>
  </si>
  <si>
    <t>Yes</t>
  </si>
  <si>
    <t>HQ-PS-N042</t>
  </si>
  <si>
    <t>-</t>
  </si>
  <si>
    <t>Windows 10</t>
  </si>
  <si>
    <t>22H2</t>
  </si>
  <si>
    <t>MS 365</t>
  </si>
  <si>
    <t>1843</t>
  </si>
  <si>
    <t>No</t>
  </si>
  <si>
    <t>yes</t>
  </si>
  <si>
    <t>วัชระ คิดโสดา (แจ็ค)</t>
  </si>
  <si>
    <t>phonwimon.aut@trrgroup.com</t>
  </si>
  <si>
    <t>Phonwimon Authai</t>
  </si>
  <si>
    <t>HQ-PS-N035</t>
  </si>
  <si>
    <t>Windows 11</t>
  </si>
  <si>
    <t>24H2 (26100.4349)</t>
  </si>
  <si>
    <t>1848</t>
  </si>
  <si>
    <t xml:space="preserve"> </t>
  </si>
  <si>
    <t>ชัยวัฒน์ จารุกรุณา (วัฒน์)</t>
  </si>
  <si>
    <t>audit.ps@trrgroup.com</t>
  </si>
  <si>
    <t>Audit PS</t>
  </si>
  <si>
    <t>HQ-PS-N033</t>
  </si>
  <si>
    <t>1849</t>
  </si>
  <si>
    <t>watchara.kid@trrgroup.com</t>
  </si>
  <si>
    <t>Watchara Kidsoda</t>
  </si>
  <si>
    <t>HQ-PS-N013</t>
  </si>
  <si>
    <t>LG</t>
  </si>
  <si>
    <t>GSM5AB6</t>
  </si>
  <si>
    <t xml:space="preserve">607NTVS8N727 </t>
  </si>
  <si>
    <t>chamaiporn.ker@trrgroup.com</t>
  </si>
  <si>
    <t>Chamaiporn Kertpunya</t>
  </si>
  <si>
    <t>HQ-TRR-N131</t>
  </si>
  <si>
    <t>22H2 (19045.5737)</t>
  </si>
  <si>
    <t>1218</t>
  </si>
  <si>
    <t>salisa.cha@trrgroup.com</t>
  </si>
  <si>
    <t>Salisa Chaichompoo</t>
  </si>
  <si>
    <t>HQ-TRR-N128</t>
  </si>
  <si>
    <t>24H2 (26100.4770)</t>
  </si>
  <si>
    <t>2016</t>
  </si>
  <si>
    <t>tanatorn.sri@trrgroup.com</t>
  </si>
  <si>
    <t>Tanatorn Sriwatchirakai</t>
  </si>
  <si>
    <t>HQ-TRR-N149</t>
  </si>
  <si>
    <t xml:space="preserve"> 22H2 (19045.5737)</t>
  </si>
  <si>
    <t>1877</t>
  </si>
  <si>
    <t>amphorn.hon@trrgroup.com</t>
  </si>
  <si>
    <t>Amphorn Hongkhammee</t>
  </si>
  <si>
    <t>HQ-PS-N045</t>
  </si>
  <si>
    <t>24H2 (26100.4484)</t>
  </si>
  <si>
    <t>1812</t>
  </si>
  <si>
    <t>HQ-PS-N017</t>
  </si>
  <si>
    <t>22H2 (19045.5965)</t>
  </si>
  <si>
    <t>2019</t>
  </si>
  <si>
    <t>wirat.uss@trrgroup.com</t>
  </si>
  <si>
    <t>Wirat Ussawaprechawong</t>
  </si>
  <si>
    <t>HQ-PS-P010</t>
  </si>
  <si>
    <t>HQ-PS-N046</t>
  </si>
  <si>
    <t>24H2</t>
  </si>
  <si>
    <t>2021</t>
  </si>
  <si>
    <t>krittiya.sin@trrgroup.com</t>
  </si>
  <si>
    <t>Krittiya Singpolngam</t>
  </si>
  <si>
    <t>HQ-TRRL-N008</t>
  </si>
  <si>
    <t>24H2 (26100.3476)</t>
  </si>
  <si>
    <t>trainee.trrt@trrgroup.com</t>
  </si>
  <si>
    <t>Trainee TRRT</t>
  </si>
  <si>
    <t>HQ-TRRCORP-N062</t>
  </si>
  <si>
    <t>24H2 (26100.4652)</t>
  </si>
  <si>
    <t>treecharut.tha@trrgroup.com</t>
  </si>
  <si>
    <t>Treecharut Thavithunyaroj</t>
  </si>
  <si>
    <t>HQ-TRRL-N003</t>
  </si>
  <si>
    <t>adunwit.whu@trrgroup.com</t>
  </si>
  <si>
    <t>Adunwit Whungphuesuk</t>
  </si>
  <si>
    <t>HQ-TRRCORP-N070</t>
  </si>
  <si>
    <t>22H2 (19045.5796)</t>
  </si>
  <si>
    <t>HQ-TRRL-N004</t>
  </si>
  <si>
    <t>24H2 26100</t>
  </si>
  <si>
    <t> HQ-TRR-MD-P003</t>
  </si>
  <si>
    <t>suree.udo@trrgroup.com</t>
  </si>
  <si>
    <t>Suree Udornkhet</t>
  </si>
  <si>
    <t>HQ-PS-N040</t>
  </si>
  <si>
    <t>HQ-PS-M001</t>
  </si>
  <si>
    <t>HP</t>
  </si>
  <si>
    <t>HP 22kd</t>
  </si>
  <si>
    <t>CNC60311W0</t>
  </si>
  <si>
    <t>1845</t>
  </si>
  <si>
    <t>kanokwan.kca@trrgroup.com</t>
  </si>
  <si>
    <t>Kanokwan Kcahaluk</t>
  </si>
  <si>
    <t>HQ-PS-N041</t>
  </si>
  <si>
    <t>HQ-PS-M002</t>
  </si>
  <si>
    <t>GSM5AB8</t>
  </si>
  <si>
    <t>601INEW08916</t>
  </si>
  <si>
    <t>1836</t>
  </si>
  <si>
    <t>aekachai.wan@trrgroup.com</t>
  </si>
  <si>
    <t>Aekachai Wannakon</t>
  </si>
  <si>
    <t>HQ-PS-N039</t>
  </si>
  <si>
    <t>HQ-PS-M003</t>
  </si>
  <si>
    <t>DELL</t>
  </si>
  <si>
    <t>E2425HS</t>
  </si>
  <si>
    <t>FG10074</t>
  </si>
  <si>
    <t>1840</t>
  </si>
  <si>
    <t>Chalermchon.cho@trrgroup.com</t>
  </si>
  <si>
    <t>Chalermchon Choophet</t>
  </si>
  <si>
    <t>HQ-PS-N043</t>
  </si>
  <si>
    <t>HQ-PS-M004</t>
  </si>
  <si>
    <t>ViewSonic</t>
  </si>
  <si>
    <t>VA2432</t>
  </si>
  <si>
    <t>X9B243480458</t>
  </si>
  <si>
    <t>1838</t>
  </si>
  <si>
    <t>piyada.che@trrgroup.com</t>
  </si>
  <si>
    <t>Piyada Chenvanich</t>
  </si>
  <si>
    <t>HQ-TRRCORP-N067</t>
  </si>
  <si>
    <t>HQ-PS-M005</t>
  </si>
  <si>
    <t xml:space="preserve">DELL </t>
  </si>
  <si>
    <t>FG5ZZ64</t>
  </si>
  <si>
    <t>1839</t>
  </si>
  <si>
    <t>krittaya.amp@trrgroup.com</t>
  </si>
  <si>
    <t>Krittaya Amphon</t>
  </si>
  <si>
    <t>HQ-PS-N018</t>
  </si>
  <si>
    <t>HQ-PS-M006</t>
  </si>
  <si>
    <t>S2318H</t>
  </si>
  <si>
    <t>4XPPC82Q09AB</t>
  </si>
  <si>
    <t>22H2 (19045.5854)</t>
  </si>
  <si>
    <t>kwanjai.sri@trrgroup.com</t>
  </si>
  <si>
    <t>Kwanjai Srikrutngam</t>
  </si>
  <si>
    <t>HQ-PS-N009</t>
  </si>
  <si>
    <t>HQ-PS-M007</t>
  </si>
  <si>
    <t>S2421HN</t>
  </si>
  <si>
    <t>C99H623</t>
  </si>
  <si>
    <t>1816</t>
  </si>
  <si>
    <t>phatsithiya.aum@trrgroup.com</t>
  </si>
  <si>
    <t>Phatsithiya Aumaram</t>
  </si>
  <si>
    <t>HQ-PS-N008</t>
  </si>
  <si>
    <t>HQ-PS-M008</t>
  </si>
  <si>
    <t>Dell</t>
  </si>
  <si>
    <t>E2422HS</t>
  </si>
  <si>
    <t>539DWQ3</t>
  </si>
  <si>
    <t>1819</t>
  </si>
  <si>
    <t>phanumat.cha@trrgroup.com</t>
  </si>
  <si>
    <t>Phanumat Chatphichitworakun</t>
  </si>
  <si>
    <t>HQ-PS-N016</t>
  </si>
  <si>
    <t>HQ-PS-M009</t>
  </si>
  <si>
    <t xml:space="preserve">SAMSUNG </t>
  </si>
  <si>
    <t>S24F350</t>
  </si>
  <si>
    <t>H4ZH802678</t>
  </si>
  <si>
    <t>1821</t>
  </si>
  <si>
    <t>pintharawan.tip@trrgroup.com</t>
  </si>
  <si>
    <t>Pintharawan Tipnon</t>
  </si>
  <si>
    <t>HQ-PS-N015</t>
  </si>
  <si>
    <t>HQ-PS-M010</t>
  </si>
  <si>
    <t>SAMSUNG</t>
  </si>
  <si>
    <t xml:space="preserve">S24D300 </t>
  </si>
  <si>
    <t>810240853</t>
  </si>
  <si>
    <t>Windows 7</t>
  </si>
  <si>
    <t>6.1 (7601: Service Pack 1)</t>
  </si>
  <si>
    <t>2013</t>
  </si>
  <si>
    <t>1818</t>
  </si>
  <si>
    <t>nattawut.phu@trrgroup.com</t>
  </si>
  <si>
    <t>Nattawut Phuangchantip</t>
  </si>
  <si>
    <t>HQ-PS-M011</t>
  </si>
  <si>
    <t>H4ZJ501080</t>
  </si>
  <si>
    <t>1813</t>
  </si>
  <si>
    <t>siriporn.sup@trrgroup.com</t>
  </si>
  <si>
    <t>Siriporn Supavilai</t>
  </si>
  <si>
    <t>HQ-PS-N019</t>
  </si>
  <si>
    <t>HQ-PS-M012</t>
  </si>
  <si>
    <t>S24D300</t>
  </si>
  <si>
    <t>1810</t>
  </si>
  <si>
    <t>agrin.see@trrgroup.com</t>
  </si>
  <si>
    <t>Agrin Seeubon</t>
  </si>
  <si>
    <t>HQ-PS-N028</t>
  </si>
  <si>
    <t>HQ-PS-M013</t>
  </si>
  <si>
    <t>6HRY2H3</t>
  </si>
  <si>
    <t>phadkaphong.pho@trrgroup.com</t>
  </si>
  <si>
    <t>Phadkaphong Phombut</t>
  </si>
  <si>
    <t>HQ-PS-N014</t>
  </si>
  <si>
    <t>HQ-PS-M014</t>
  </si>
  <si>
    <t>S2421H</t>
  </si>
  <si>
    <t>D2N3YN3</t>
  </si>
  <si>
    <t>jittakorn.kra@trrgroup.com</t>
  </si>
  <si>
    <t>Jittakorn Krasobthong</t>
  </si>
  <si>
    <t>HQ-PS-N020</t>
  </si>
  <si>
    <t>HQ-PS-M015</t>
  </si>
  <si>
    <t>7V11D23</t>
  </si>
  <si>
    <t>1815</t>
  </si>
  <si>
    <t>EPSON LQ-2090  S/N FT7Y069990</t>
  </si>
  <si>
    <t>piyawan.sae@trrgroup.com</t>
  </si>
  <si>
    <t>Piyawan Sae-Ung</t>
  </si>
  <si>
    <t>HQ-PS-N037</t>
  </si>
  <si>
    <t>HQ-PS-M016</t>
  </si>
  <si>
    <t>FG2ZZ64</t>
  </si>
  <si>
    <t>24H2 (26100.4061)</t>
  </si>
  <si>
    <t>1827</t>
  </si>
  <si>
    <t>nutipong.cla@trrgroup.com</t>
  </si>
  <si>
    <t>Nutipong Claisit</t>
  </si>
  <si>
    <t>HQ-PS-N027</t>
  </si>
  <si>
    <t>HQ-PS-M017</t>
  </si>
  <si>
    <t>BMMLZG3</t>
  </si>
  <si>
    <t>1825</t>
  </si>
  <si>
    <t>nitikorn.sor@trrgroup.com</t>
  </si>
  <si>
    <t>Nitikorn Sornsaard</t>
  </si>
  <si>
    <t>HQ-PS-N044</t>
  </si>
  <si>
    <t>HQ-PS-M018</t>
  </si>
  <si>
    <t>E2425HSM</t>
  </si>
  <si>
    <t>H4XG074</t>
  </si>
  <si>
    <t>24H2 (26100.4351)</t>
  </si>
  <si>
    <t>wanthanee.saw@trrgroup.com</t>
  </si>
  <si>
    <t>Wanthanee Sawaddee</t>
  </si>
  <si>
    <t>HQ-PS-N011</t>
  </si>
  <si>
    <t>HQ-PS-M019</t>
  </si>
  <si>
    <t>58ZCWQ3</t>
  </si>
  <si>
    <t>1814</t>
  </si>
  <si>
    <t>thitamon.dou@trrgroup.com</t>
  </si>
  <si>
    <t>Thitamon Doungleang</t>
  </si>
  <si>
    <t>HQ-PS-N012</t>
  </si>
  <si>
    <t>HQ-PS-M020</t>
  </si>
  <si>
    <t>H4ZJ701794</t>
  </si>
  <si>
    <t>kerati.num@trrgroup.com</t>
  </si>
  <si>
    <t>Kerati Numahan</t>
  </si>
  <si>
    <t>HQ-PS-N024</t>
  </si>
  <si>
    <t>HQ-PS-M021</t>
  </si>
  <si>
    <t>27SY2H3</t>
  </si>
  <si>
    <t>1880</t>
  </si>
  <si>
    <t>nithi.dee@trrgroup.com</t>
  </si>
  <si>
    <t>Nithi Deejaroon</t>
  </si>
  <si>
    <t>HQ-PS-N005</t>
  </si>
  <si>
    <t>HQ-PS-M022</t>
  </si>
  <si>
    <t xml:space="preserve">LG </t>
  </si>
  <si>
    <t>1817</t>
  </si>
  <si>
    <t>chalita.sim@trrgroup.com</t>
  </si>
  <si>
    <t>Chalita Simpla</t>
  </si>
  <si>
    <t>HQ-PS-N001</t>
  </si>
  <si>
    <t>HQ-PS-M023</t>
  </si>
  <si>
    <t>SE2422H</t>
  </si>
  <si>
    <t>262VWY3</t>
  </si>
  <si>
    <t>23H2 (22631.5472)</t>
  </si>
  <si>
    <t>1881</t>
  </si>
  <si>
    <t>HQ-PS-N026</t>
  </si>
  <si>
    <t>HQ-PS-M024</t>
  </si>
  <si>
    <t>DEL41F1</t>
  </si>
  <si>
    <t>5S6H623</t>
  </si>
  <si>
    <t>1808</t>
  </si>
  <si>
    <t>ariyapat.noi@trrgroup.com</t>
  </si>
  <si>
    <t>Ariyapat Noiwilai</t>
  </si>
  <si>
    <t>HQ-PS-N025</t>
  </si>
  <si>
    <t>HQ-PS-M025</t>
  </si>
  <si>
    <t>4XPPC82Q00KB</t>
  </si>
  <si>
    <t>1822</t>
  </si>
  <si>
    <t>wipada.kae@trrgroup.com</t>
  </si>
  <si>
    <t>Wipada Kaewmanee</t>
  </si>
  <si>
    <t>HQ-PS-N002</t>
  </si>
  <si>
    <t>HQ-PS-M026</t>
  </si>
  <si>
    <t>H4ZJ900195</t>
  </si>
  <si>
    <t>thanadee.cha@trrgroup.com</t>
  </si>
  <si>
    <t>Thanadee Chanvipava</t>
  </si>
  <si>
    <t>HQ-PS-N038</t>
  </si>
  <si>
    <t>HQ-PS-M027</t>
  </si>
  <si>
    <t>7PG5M84 </t>
  </si>
  <si>
    <t>tharnrung.lam@trrgroup.com</t>
  </si>
  <si>
    <t>Tharnrung Lamatipanont</t>
  </si>
  <si>
    <t>HQ-PS-N031</t>
  </si>
  <si>
    <t>HQ-PS-M028</t>
  </si>
  <si>
    <t>DELF173</t>
  </si>
  <si>
    <t>H1TG074</t>
  </si>
  <si>
    <t>atchara.sua@trrgroup.com</t>
  </si>
  <si>
    <t>Atchara Suansawan</t>
  </si>
  <si>
    <t>HQ-PS-N032</t>
  </si>
  <si>
    <t>HQ-PS-M029</t>
  </si>
  <si>
    <t>SE2419H</t>
  </si>
  <si>
    <t>JXF4CX2</t>
  </si>
  <si>
    <t>1800</t>
  </si>
  <si>
    <t>HQ-PS-N006</t>
  </si>
  <si>
    <t>HQ-PS-M033</t>
  </si>
  <si>
    <t xml:space="preserve">PHILIPS </t>
  </si>
  <si>
    <t>246E7</t>
  </si>
  <si>
    <t>AU01625011148</t>
  </si>
  <si>
    <t>791 OKI  24pin  S/N:  AK83060568E0</t>
  </si>
  <si>
    <t>prapunsak@trrgroup.com</t>
  </si>
  <si>
    <t>Prapunsak Wongpaitoon</t>
  </si>
  <si>
    <t>HQ-PS-N030</t>
  </si>
  <si>
    <t>HQ-PS-M030</t>
  </si>
  <si>
    <t>GSM5AB7</t>
  </si>
  <si>
    <t>607NTVS8N727</t>
  </si>
  <si>
    <t>1803</t>
  </si>
  <si>
    <t>sawanya.mah@trrgroup.com</t>
  </si>
  <si>
    <t>Sawanya Mahakan</t>
  </si>
  <si>
    <t>HQ-PS-N021</t>
  </si>
  <si>
    <t>HQ-PS-M031</t>
  </si>
  <si>
    <t>H4ZH700996</t>
  </si>
  <si>
    <t>1824</t>
  </si>
  <si>
    <t>yutthapol.cha@trrgroup.com</t>
  </si>
  <si>
    <t>Yutthapol Charoenrat</t>
  </si>
  <si>
    <t>HQ-PS-N034</t>
  </si>
  <si>
    <t>HQ-PS-M032</t>
  </si>
  <si>
    <t>1S6H623</t>
  </si>
  <si>
    <t>1847</t>
  </si>
  <si>
    <t>benjawan.vae@trrgroup.com</t>
  </si>
  <si>
    <t>Benjawan Vaenkaew</t>
  </si>
  <si>
    <t>HQ-PS-N029</t>
  </si>
  <si>
    <t>HQ-PS-M034</t>
  </si>
  <si>
    <t>5NMLZG3</t>
  </si>
  <si>
    <t>1811</t>
  </si>
  <si>
    <t>thawatchai.pha@trrgroup.com</t>
  </si>
  <si>
    <t>Thawatchai Phaengphaeng</t>
  </si>
  <si>
    <t>HQ-PS-N022</t>
  </si>
  <si>
    <t>HQ-PS-M035</t>
  </si>
  <si>
    <t>3SVJZG3</t>
  </si>
  <si>
    <t>1879</t>
  </si>
  <si>
    <t>narinrat.tin@trrgroup.com</t>
  </si>
  <si>
    <t>Narinrat Tinchadarak</t>
  </si>
  <si>
    <t>HQ-PS-N036</t>
  </si>
  <si>
    <t>HQ-PS-M036</t>
  </si>
  <si>
    <t>8520N54</t>
  </si>
  <si>
    <t>1826</t>
  </si>
  <si>
    <t>thitiporn@trrgroup.com</t>
  </si>
  <si>
    <t>Thitiporn Chanvipava</t>
  </si>
  <si>
    <t>HQ-PS-P001</t>
  </si>
  <si>
    <t>HQ-PS-M037</t>
  </si>
  <si>
    <t>50PC1DR</t>
  </si>
  <si>
    <t>16843009</t>
  </si>
  <si>
    <t>21H2 (22000.2538)</t>
  </si>
  <si>
    <t>1807</t>
  </si>
  <si>
    <t>wongsathon.sae@trrgroup.com</t>
  </si>
  <si>
    <t>Wongsathon Saengcharoen</t>
  </si>
  <si>
    <t>HQ-PS-N023</t>
  </si>
  <si>
    <t>HQ-PS-M038</t>
  </si>
  <si>
    <t>BSVJZG3</t>
  </si>
  <si>
    <t xml:space="preserve"> 22H2 (19045.5965)</t>
  </si>
  <si>
    <t>jaruwan.pha@trrgroup.com</t>
  </si>
  <si>
    <t>Jaruwan Phajan</t>
  </si>
  <si>
    <t>HQ-PS-N010</t>
  </si>
  <si>
    <t>HQ-PS-M040</t>
  </si>
  <si>
    <t>JR3Y814</t>
  </si>
  <si>
    <t>anusara.jar@trrgroup.com</t>
  </si>
  <si>
    <t>Anusara Jaroensuk</t>
  </si>
  <si>
    <t>HQ-PS-N003</t>
  </si>
  <si>
    <t>HQ-PS-M041</t>
  </si>
  <si>
    <t>1820</t>
  </si>
  <si>
    <t>kunchisa.suk@trrgroup.com</t>
  </si>
  <si>
    <t>Kunchisa Sukthep</t>
  </si>
  <si>
    <t>HQ-PS-N004</t>
  </si>
  <si>
    <t>HQ-PS-M042</t>
  </si>
  <si>
    <t>S2319H</t>
  </si>
  <si>
    <t>TXC058811G3B</t>
  </si>
  <si>
    <t>22H2 (19045.6093)</t>
  </si>
  <si>
    <t>1809</t>
  </si>
  <si>
    <t>suchaya.cha@trrgroup.com</t>
  </si>
  <si>
    <t>Suchaya Chaitip</t>
  </si>
  <si>
    <t>HQ-TRRCORP-N065</t>
  </si>
  <si>
    <t>HQ-TRRCORP-M001</t>
  </si>
  <si>
    <t>E2417H</t>
  </si>
  <si>
    <t>MYFWK8CE1KHB</t>
  </si>
  <si>
    <t>24h2 (26100.4652)</t>
  </si>
  <si>
    <t>1837</t>
  </si>
  <si>
    <t>issara.kam@trrgroup.com</t>
  </si>
  <si>
    <t>Issara Kamprasert</t>
  </si>
  <si>
    <t>HQ-TRRCORP-N063</t>
  </si>
  <si>
    <t>HQ-TRRCORP-M002</t>
  </si>
  <si>
    <t>24H2 (26100.4946)</t>
  </si>
  <si>
    <t>1844</t>
  </si>
  <si>
    <t>anant.sri@trrgroup.com</t>
  </si>
  <si>
    <t>Anant Srisutham</t>
  </si>
  <si>
    <t>HQ-TRRCORP-N061</t>
  </si>
  <si>
    <t>HQ-TRRCORP-M003</t>
  </si>
  <si>
    <t xml:space="preserve">Lenovo </t>
  </si>
  <si>
    <t>L24i-4A</t>
  </si>
  <si>
    <t>UPHP5HFG</t>
  </si>
  <si>
    <t>1278</t>
  </si>
  <si>
    <t>kamonchanok.boo@trrgroup.com</t>
  </si>
  <si>
    <t>Kamonchanok Boonkhem</t>
  </si>
  <si>
    <t>HQ-TRRCORP-N017</t>
  </si>
  <si>
    <t>HQ-TRRCORP-M004</t>
  </si>
  <si>
    <t>S23C350</t>
  </si>
  <si>
    <t>1297232717</t>
  </si>
  <si>
    <t>2H2 (26100.4946)</t>
  </si>
  <si>
    <t>1252</t>
  </si>
  <si>
    <t>supapron.pot@trrgroup.com</t>
  </si>
  <si>
    <t>Supapron Potida</t>
  </si>
  <si>
    <t>HQ-TRRCORP-N092</t>
  </si>
  <si>
    <t>HQ-TRRCORP-M005</t>
  </si>
  <si>
    <t>1253</t>
  </si>
  <si>
    <t>patthara.ton@trrgroup.com</t>
  </si>
  <si>
    <t>Patthara Tongthammakit</t>
  </si>
  <si>
    <t>HQ-TRRCORP-N066</t>
  </si>
  <si>
    <t>HQ-TRRCORP-M008</t>
  </si>
  <si>
    <t xml:space="preserve">Acer </t>
  </si>
  <si>
    <t>S235HL</t>
  </si>
  <si>
    <t>LUUSS0022400</t>
  </si>
  <si>
    <t>1279</t>
  </si>
  <si>
    <t>wacharinthip.wan@trrgroup.com</t>
  </si>
  <si>
    <t>Wacharinthip Wansanit</t>
  </si>
  <si>
    <t>HQ-TRRCORP-N020</t>
  </si>
  <si>
    <t>HQ-TRRCORP-M009</t>
  </si>
  <si>
    <t>509INEW1H932</t>
  </si>
  <si>
    <t>1867</t>
  </si>
  <si>
    <t>cholthicha.pao@trrgroup.com</t>
  </si>
  <si>
    <t>Cholthicha Paophandee</t>
  </si>
  <si>
    <t>HQ-TRRCORP-N064</t>
  </si>
  <si>
    <t>HQ-TRRCORP-M010</t>
  </si>
  <si>
    <t>S230HL</t>
  </si>
  <si>
    <t>LTS0R0252400</t>
  </si>
  <si>
    <t>1257</t>
  </si>
  <si>
    <t>kanyarat.wor@trrgroup.com</t>
  </si>
  <si>
    <t>Kanyarat Worachina</t>
  </si>
  <si>
    <t>HQ-TRRCORP-N040</t>
  </si>
  <si>
    <t>HQ-TRRCORP-M013</t>
  </si>
  <si>
    <t>H4ZH801588</t>
  </si>
  <si>
    <t xml:space="preserve"> HQ-TRRB-N040 &gt;&gt; HQ-TRRCORP-N040</t>
  </si>
  <si>
    <t>rachatawan.sri@trrgroup.com</t>
  </si>
  <si>
    <t>Rachatawan Srisaswatakul</t>
  </si>
  <si>
    <t>HQ-TRRL-N002</t>
  </si>
  <si>
    <t>HQ-TRRL-M001</t>
  </si>
  <si>
    <t>5FSFWQ3</t>
  </si>
  <si>
    <t>1201</t>
  </si>
  <si>
    <t>schlut.tep@trrgroup.com</t>
  </si>
  <si>
    <t>Schlut Teppitak</t>
  </si>
  <si>
    <t>HQ-TRRL-N007</t>
  </si>
  <si>
    <t>HQ-TRRL-M003</t>
  </si>
  <si>
    <t>U2412M</t>
  </si>
  <si>
    <t>504H143C5KPS</t>
  </si>
  <si>
    <t>24H2 (26100.3775)</t>
  </si>
  <si>
    <t>kittichai.kun@trrgroup.com</t>
  </si>
  <si>
    <t>Kittichai Kunawong</t>
  </si>
  <si>
    <t>HQ-TRRL-N006</t>
  </si>
  <si>
    <t>HQ-TRRL-M004</t>
  </si>
  <si>
    <t>Lenovo</t>
  </si>
  <si>
    <t>UMHP2YWR</t>
  </si>
  <si>
    <t>1206</t>
  </si>
  <si>
    <t>siriphorn.eam@trrgroup.com</t>
  </si>
  <si>
    <t>Siriphorn Eamopas</t>
  </si>
  <si>
    <t>HQ-TRR-N189</t>
  </si>
  <si>
    <t>HQ-TRR-M001</t>
  </si>
  <si>
    <t>LS24AG32x</t>
  </si>
  <si>
    <t>H9JW400760</t>
  </si>
  <si>
    <t>1852</t>
  </si>
  <si>
    <t>thananya.suw@trrgroup.com</t>
  </si>
  <si>
    <t>Thananya Suwandee</t>
  </si>
  <si>
    <t>HQ-TRR-N151</t>
  </si>
  <si>
    <t>H4ZJ702031</t>
  </si>
  <si>
    <t>1878</t>
  </si>
  <si>
    <t>HQ-TRR-P006</t>
  </si>
  <si>
    <t>HQ-TRR-M002</t>
  </si>
  <si>
    <t>MYFWK99Q1K6L</t>
  </si>
  <si>
    <t>1213</t>
  </si>
  <si>
    <t>nutcha.saw@trrgroup.com</t>
  </si>
  <si>
    <t>Nutcha Saweangthong</t>
  </si>
  <si>
    <t>HQ-TRR-N056</t>
  </si>
  <si>
    <t>HQ-TRR-M003</t>
  </si>
  <si>
    <t>SE2419HR</t>
  </si>
  <si>
    <t>BWK6V33</t>
  </si>
  <si>
    <t>1269</t>
  </si>
  <si>
    <t>chayapol.lam@trrgroup.com</t>
  </si>
  <si>
    <t>Chayapol Lamchalard</t>
  </si>
  <si>
    <t>HQ-TRR-N145</t>
  </si>
  <si>
    <t>HQ-TRR-M004</t>
  </si>
  <si>
    <t>H4ZH600865</t>
  </si>
  <si>
    <t>1864</t>
  </si>
  <si>
    <t>asami.ued@trrgroup.com</t>
  </si>
  <si>
    <t>Asami Ueda</t>
  </si>
  <si>
    <t>HQ-TRR-N020</t>
  </si>
  <si>
    <t>HQ-TRR-M005</t>
  </si>
  <si>
    <t>H9JW400769</t>
  </si>
  <si>
    <t>1854</t>
  </si>
  <si>
    <t>supalak.noe@trrgroup.com</t>
  </si>
  <si>
    <t>Supalak Noeikham</t>
  </si>
  <si>
    <t>HQ-TRR-N016</t>
  </si>
  <si>
    <t>HQ-TRR-M006</t>
  </si>
  <si>
    <t>H9JW400765</t>
  </si>
  <si>
    <t>1851</t>
  </si>
  <si>
    <t>chalida.kon@trrgroup.com</t>
  </si>
  <si>
    <t>Chalida Kongtraiphob</t>
  </si>
  <si>
    <t>HQ-TRR-N130</t>
  </si>
  <si>
    <t>HQ-TRR-M007</t>
  </si>
  <si>
    <t>H9JW400796</t>
  </si>
  <si>
    <t>1853</t>
  </si>
  <si>
    <t>yupared.pan@trrgroup.com</t>
  </si>
  <si>
    <t>Yupared Panlertjamnun</t>
  </si>
  <si>
    <t>HQ-TRR-N146</t>
  </si>
  <si>
    <t>HQ-TRR-M008</t>
  </si>
  <si>
    <t>H4ZH600518</t>
  </si>
  <si>
    <t>1859</t>
  </si>
  <si>
    <t>prangtip.suk@trrgroup.com</t>
  </si>
  <si>
    <t>Prangtip Sukprasert</t>
  </si>
  <si>
    <t>HQ-TRR-N129</t>
  </si>
  <si>
    <t>HQ-TRR-M009</t>
  </si>
  <si>
    <t>H4ZK301440</t>
  </si>
  <si>
    <t>siripen.pru@trrgroup.com</t>
  </si>
  <si>
    <t>Siripen Pruangchana</t>
  </si>
  <si>
    <t>HQ-TRRT-N132</t>
  </si>
  <si>
    <t>HQ-TRR-M010</t>
  </si>
  <si>
    <t xml:space="preserve">TXC0587Q19DB </t>
  </si>
  <si>
    <t>1224</t>
  </si>
  <si>
    <t>piyatida.sun@trrgroup.com</t>
  </si>
  <si>
    <t>Piyatida Sunsaen</t>
  </si>
  <si>
    <t>HQ-TRR-N027</t>
  </si>
  <si>
    <t>HQ-TRR-M011</t>
  </si>
  <si>
    <t>H4ZH404590</t>
  </si>
  <si>
    <t>napatsorn.iea@trrgroup.com</t>
  </si>
  <si>
    <t>Napatsorn Ieamchang</t>
  </si>
  <si>
    <t>HQ-TRR-N135</t>
  </si>
  <si>
    <t>HQ-TRR-M012</t>
  </si>
  <si>
    <t>2MFH623</t>
  </si>
  <si>
    <t>1216</t>
  </si>
  <si>
    <t>acc.apoff@trrgroup.com</t>
  </si>
  <si>
    <t>acc apoff</t>
  </si>
  <si>
    <t>HQ-TRR-N018</t>
  </si>
  <si>
    <t>HQ-TRR-M013</t>
  </si>
  <si>
    <t>H9JW400782</t>
  </si>
  <si>
    <t>supakorn.suw@trrgroup.com</t>
  </si>
  <si>
    <t>Supakorn Suwanaksorn</t>
  </si>
  <si>
    <t>HQ-TRR-N017</t>
  </si>
  <si>
    <t>HQ-TRR-M014</t>
  </si>
  <si>
    <t>BXQYLP3</t>
  </si>
  <si>
    <t>1868</t>
  </si>
  <si>
    <t>preedaporn.mai@trrgroup.com</t>
  </si>
  <si>
    <t>Preedaporn Mailasri</t>
  </si>
  <si>
    <t xml:space="preserve">HQ-TRR-N153 </t>
  </si>
  <si>
    <t>HQ-TRR-M015</t>
  </si>
  <si>
    <t>H4ZJ500649</t>
  </si>
  <si>
    <t>22H2 19045.5854</t>
  </si>
  <si>
    <t>1871</t>
  </si>
  <si>
    <t>poramut.cha@trrgroup.com</t>
  </si>
  <si>
    <t>Poramut Chakjalansub</t>
  </si>
  <si>
    <t>HQ-TRR-N103</t>
  </si>
  <si>
    <t>HQ-TRR-M016</t>
  </si>
  <si>
    <t>6H8Y1H3</t>
  </si>
  <si>
    <t>chiranan.rue@trrgroup.com</t>
  </si>
  <si>
    <t>Chiranan Rueangchai</t>
  </si>
  <si>
    <t>HQ-TRR-N136</t>
  </si>
  <si>
    <t>HQ-TRR-M017</t>
  </si>
  <si>
    <t>H4ZJC02290</t>
  </si>
  <si>
    <t>1251</t>
  </si>
  <si>
    <t>DT: HQ-TRR-N103  HQ-TRR-P006</t>
  </si>
  <si>
    <t>wiraya.srip@trrgroup.com</t>
  </si>
  <si>
    <t>Wiraya Sripupan</t>
  </si>
  <si>
    <t>HQ-TRR-N175</t>
  </si>
  <si>
    <t>HQ-TRR-M018</t>
  </si>
  <si>
    <t>5TDKX83</t>
  </si>
  <si>
    <t>1875</t>
  </si>
  <si>
    <t>paweena.phu@trrgroup.com</t>
  </si>
  <si>
    <t>Paweena Phutiutt</t>
  </si>
  <si>
    <t>HQ-TRR-N150</t>
  </si>
  <si>
    <t>HQ-TRR-M019</t>
  </si>
  <si>
    <t>H4ZJ900174</t>
  </si>
  <si>
    <t>1874</t>
  </si>
  <si>
    <t>bgoff@trrgroup.com</t>
  </si>
  <si>
    <t>bg off</t>
  </si>
  <si>
    <t>HQ-TRR-N181</t>
  </si>
  <si>
    <t>HQ-TRR-M020</t>
  </si>
  <si>
    <t>LS24C33xG</t>
  </si>
  <si>
    <t>H9TW700561</t>
  </si>
  <si>
    <t>1872</t>
  </si>
  <si>
    <t>phoomjai.jar@trrgroup.com</t>
  </si>
  <si>
    <t>Phoomjai Jarunkittawee</t>
  </si>
  <si>
    <t>HQ-TRR-N160</t>
  </si>
  <si>
    <t>HQ-TRR-M021</t>
  </si>
  <si>
    <t>H4ZJ800943</t>
  </si>
  <si>
    <t>1268</t>
  </si>
  <si>
    <t>sumalee.sri@trrgroup.com</t>
  </si>
  <si>
    <t>Sumalee Srijaw</t>
  </si>
  <si>
    <t>HQ-TRR-N055</t>
  </si>
  <si>
    <t>HQ-TRR-M023</t>
  </si>
  <si>
    <t>1515864899</t>
  </si>
  <si>
    <t>1261</t>
  </si>
  <si>
    <t>nirada.kla@trrgroup.com</t>
  </si>
  <si>
    <t>Nirada Klaiphan</t>
  </si>
  <si>
    <t>HQ-TRR-N138</t>
  </si>
  <si>
    <t>HQ-TRR-M025</t>
  </si>
  <si>
    <t>G5Z9YG3</t>
  </si>
  <si>
    <t>1221</t>
  </si>
  <si>
    <t>atiwat.tra@trrgroup.com</t>
  </si>
  <si>
    <t>Atiwat Tragoondet</t>
  </si>
  <si>
    <t>HQ-TRR-N178</t>
  </si>
  <si>
    <t>HQ-TRR-M028</t>
  </si>
  <si>
    <t>537D2H3</t>
  </si>
  <si>
    <t>1217</t>
  </si>
  <si>
    <t>thitikarn.tha@trrgroup.com</t>
  </si>
  <si>
    <t>Thitikarn Thabthong</t>
  </si>
  <si>
    <t>HQ-TRR-N039</t>
  </si>
  <si>
    <t>HQ-TRR-M029</t>
  </si>
  <si>
    <t>38JX9P3</t>
  </si>
  <si>
    <t>23H2 (22631.5335)</t>
  </si>
  <si>
    <t>1873</t>
  </si>
  <si>
    <t>OKI 390 S/N: AK75039151H0</t>
  </si>
  <si>
    <t>tanakorn.cha@trrgroup.com</t>
  </si>
  <si>
    <t>Tanakorn Chartmontri</t>
  </si>
  <si>
    <t>HQ-TRR-N134</t>
  </si>
  <si>
    <t>HQ-TRR-M030</t>
  </si>
  <si>
    <t>H9JW400826</t>
  </si>
  <si>
    <t>1850</t>
  </si>
  <si>
    <t>valaiporn.vic@trrgroup.com</t>
  </si>
  <si>
    <t>Valaiporn Vichaikuldilok</t>
  </si>
  <si>
    <t>HQ-TRR-N037</t>
  </si>
  <si>
    <t>HQ-TRR-M032</t>
  </si>
  <si>
    <t>511INYD3A682</t>
  </si>
  <si>
    <t>1260</t>
  </si>
  <si>
    <t>panita.buc@trrgroup.com</t>
  </si>
  <si>
    <t>Panita Buchakun</t>
  </si>
  <si>
    <t>HQ-TRR-N127</t>
  </si>
  <si>
    <t>HQ-TRR-M034</t>
  </si>
  <si>
    <t>8ZH6V33</t>
  </si>
  <si>
    <t>1855</t>
  </si>
  <si>
    <t>pornlapat.the@trrgroup.com</t>
  </si>
  <si>
    <t>Pornlapat Thepduang</t>
  </si>
  <si>
    <t>HQ-TRR-N035</t>
  </si>
  <si>
    <t>HQ-TRR-M035</t>
  </si>
  <si>
    <t>SE2717H</t>
  </si>
  <si>
    <t>N2Y5D83N0AKL</t>
  </si>
  <si>
    <t>22H2 (19045.6159)</t>
  </si>
  <si>
    <t>1876</t>
  </si>
  <si>
    <t>HQ-TRRL-N005</t>
  </si>
  <si>
    <t>HQ-TRRL-M002</t>
  </si>
  <si>
    <t>UMHP2YW4</t>
  </si>
  <si>
    <t>1202</t>
  </si>
  <si>
    <t>HQ-TRRT-N014</t>
  </si>
  <si>
    <t>HQ-TRRT-M001</t>
  </si>
  <si>
    <t>TXC0587Q188B</t>
  </si>
  <si>
    <t>24 H2 (26400.3915)</t>
  </si>
  <si>
    <t>1503</t>
  </si>
  <si>
    <t>chaiwat.jar@trrgroup.com</t>
  </si>
  <si>
    <t>Chaiwat Jarukaruna</t>
  </si>
  <si>
    <t>HQ-TRRT-N009</t>
  </si>
  <si>
    <t>HQ-TRRT-M002</t>
  </si>
  <si>
    <t>25LSGZ3</t>
  </si>
  <si>
    <t>1504</t>
  </si>
  <si>
    <t>patchares.ruj@trrgroup.com</t>
  </si>
  <si>
    <t>Patchares Rujiradamrongchai</t>
  </si>
  <si>
    <t>HQ-TRRT-N007</t>
  </si>
  <si>
    <t>HQ-TRRT-M003</t>
  </si>
  <si>
    <t>TXC058CD0RVB</t>
  </si>
  <si>
    <t>1543</t>
  </si>
  <si>
    <t>nawaporn.kli@trrgroup.com</t>
  </si>
  <si>
    <t>Nawaporn Klinpet</t>
  </si>
  <si>
    <t>HQ-TRRT-N029</t>
  </si>
  <si>
    <t>HQ-TRRT-M004</t>
  </si>
  <si>
    <t>1502</t>
  </si>
  <si>
    <t>Naphapen.hon@trrgroup.com</t>
  </si>
  <si>
    <t>Naphapen Hongthong</t>
  </si>
  <si>
    <t>HQ-TRRT-N019</t>
  </si>
  <si>
    <t>HQ-TRRT-M007</t>
  </si>
  <si>
    <t>9Y03XV2</t>
  </si>
  <si>
    <t>1509</t>
  </si>
  <si>
    <t>kerkrit.mee@trrgroup.com</t>
  </si>
  <si>
    <t>Kerkrit Meetib</t>
  </si>
  <si>
    <t>HQ-TRRT-N001</t>
  </si>
  <si>
    <t>HQ-TRRT-M008</t>
  </si>
  <si>
    <t>9LLC8P3</t>
  </si>
  <si>
    <t>saowanee.wit@trrgroup.com</t>
  </si>
  <si>
    <t>Saowanee Witeeprai</t>
  </si>
  <si>
    <t>HQ-TRRT-N021</t>
  </si>
  <si>
    <t>HQ-TRRT-M010</t>
  </si>
  <si>
    <t>87YWC23</t>
  </si>
  <si>
    <t>22H2 (19045.6216)</t>
  </si>
  <si>
    <t>1508</t>
  </si>
  <si>
    <t>supanat.ros@trrgroup.com</t>
  </si>
  <si>
    <t>Supanat Roschaaem</t>
  </si>
  <si>
    <t>HQ-TRRCORP-N036</t>
  </si>
  <si>
    <t>HQ-TRRT-M011</t>
  </si>
  <si>
    <t>H4ZH502301</t>
  </si>
  <si>
    <t>voraton.nut@trrgroup.com</t>
  </si>
  <si>
    <t>Voraton Nuttakarnnuwat</t>
  </si>
  <si>
    <t>HQ-TRRT-N025</t>
  </si>
  <si>
    <t>HQ-TRRT-M012</t>
  </si>
  <si>
    <t>L27e-30</t>
  </si>
  <si>
    <t>UPB6FK4P</t>
  </si>
  <si>
    <t>HQ-TRRT-M013</t>
  </si>
  <si>
    <t>UPB6FHP4</t>
  </si>
  <si>
    <t>1506</t>
  </si>
  <si>
    <t>burapol.uss@trrgroup.com</t>
  </si>
  <si>
    <t>Burapol Ussawawirulrit</t>
  </si>
  <si>
    <t>HQ-TRRT-N002</t>
  </si>
  <si>
    <t>HQ-TRRT-M014</t>
  </si>
  <si>
    <t>TXC0591G0PMT</t>
  </si>
  <si>
    <t>1507</t>
  </si>
  <si>
    <t>chalida.pul@trrgroup.com</t>
  </si>
  <si>
    <t>Chalida Pulkerd</t>
  </si>
  <si>
    <t>HQ-TRRT-N010</t>
  </si>
  <si>
    <t>HQ-TRRT-M015</t>
  </si>
  <si>
    <t>FKLC8P3</t>
  </si>
  <si>
    <t>HQ-TRRT-N015</t>
  </si>
  <si>
    <t>MackBook Air</t>
  </si>
  <si>
    <t>Mac</t>
  </si>
  <si>
    <t>jakkapob.sir@trrgroup.com</t>
  </si>
  <si>
    <t>Jakkapob Sirirungsakulwong</t>
  </si>
  <si>
    <t>HQ-TRRT-N004</t>
  </si>
  <si>
    <t>HQ-TRRT-M016</t>
  </si>
  <si>
    <t>3QGHNR2</t>
  </si>
  <si>
    <t xml:space="preserve">  22H2 (19045.5737)</t>
  </si>
  <si>
    <t>wasupon.kha@trrgroup.com</t>
  </si>
  <si>
    <t>Wasupon Khajornsilp</t>
  </si>
  <si>
    <t>HQ-TRRT-N020</t>
  </si>
  <si>
    <t>HQ-TRRT-M018</t>
  </si>
  <si>
    <t>UPB6FHR3</t>
  </si>
  <si>
    <t>HQ-TRRT-M017</t>
  </si>
  <si>
    <t>UPB6FKT8</t>
  </si>
  <si>
    <t>tanut.cha@trrgroup.com</t>
  </si>
  <si>
    <t>Tanut Chaingam</t>
  </si>
  <si>
    <t>HQ-TRRT-N005</t>
  </si>
  <si>
    <t>HQ-TRRT-M019</t>
  </si>
  <si>
    <t>74Z9YG3</t>
  </si>
  <si>
    <t>Tanut Chaingam Monitor</t>
  </si>
  <si>
    <t>ASUS</t>
  </si>
  <si>
    <t>VG279</t>
  </si>
  <si>
    <t>JCLMQS052368</t>
  </si>
  <si>
    <t>preeyawat.inh@trrgroup.com</t>
  </si>
  <si>
    <t>Preeyawat Inhangwa</t>
  </si>
  <si>
    <t>HQ-TRRT-N027</t>
  </si>
  <si>
    <t>HQ-TRRT-M020</t>
  </si>
  <si>
    <t>GSS1143</t>
  </si>
  <si>
    <t>krit.suw@trrgroup.com</t>
  </si>
  <si>
    <t>Krit Suwanpoosaporn</t>
  </si>
  <si>
    <t>HQ-TRRT-N028</t>
  </si>
  <si>
    <t>HQ-TRRT-M022</t>
  </si>
  <si>
    <t>U2419H</t>
  </si>
  <si>
    <t>DG36X13</t>
  </si>
  <si>
    <t>MacOS BigSur 11.2</t>
  </si>
  <si>
    <t>1501</t>
  </si>
  <si>
    <t>khwanchai.tho@trrgroup.com</t>
  </si>
  <si>
    <t>Khwanchai Thongchart</t>
  </si>
  <si>
    <t>HQ-TRRT-N026</t>
  </si>
  <si>
    <t>HQ-TRRT-M021</t>
  </si>
  <si>
    <t>dell</t>
  </si>
  <si>
    <t>TXC0586Q02PB</t>
  </si>
  <si>
    <t>1510</t>
  </si>
  <si>
    <t>kanoknapa.pet@trrgroup.com</t>
  </si>
  <si>
    <t>Kanoknapa Petchanpa</t>
  </si>
  <si>
    <t>HQ-TRRCORP-N102</t>
  </si>
  <si>
    <t>HQ-TRRCORP-M007</t>
  </si>
  <si>
    <t>E2425HM</t>
  </si>
  <si>
    <t>JBX5B34</t>
  </si>
  <si>
    <t xml:space="preserve">24H2 (26100.4946)  </t>
  </si>
  <si>
    <t>chalisa.pra@trrgroup.com</t>
  </si>
  <si>
    <t>Chalisa Prasertpiyakul</t>
  </si>
  <si>
    <t>HQ-TRRCORP-N103</t>
  </si>
  <si>
    <t>HQ-TRRCORP-M012</t>
  </si>
  <si>
    <t>GXS5B34</t>
  </si>
  <si>
    <t>janjira.fan@trrgroup.com</t>
  </si>
  <si>
    <t>Janjira Fangern</t>
  </si>
  <si>
    <t>HQ-TRRCORP-N104</t>
  </si>
  <si>
    <t>HQ-TRRCORP-M011</t>
  </si>
  <si>
    <t>85X5B34</t>
  </si>
  <si>
    <t>24H2 (26100.5074)</t>
  </si>
  <si>
    <t>lumduan.mou@trrgroup.com</t>
  </si>
  <si>
    <t>Lumduan Moulchoo</t>
  </si>
  <si>
    <t>HQ-TRRCORP-N012</t>
  </si>
  <si>
    <t>HQ-TRRCORP-M014</t>
  </si>
  <si>
    <t>TXC058920CHT</t>
  </si>
  <si>
    <t>24H2 (26100.3915)</t>
  </si>
  <si>
    <t>1861</t>
  </si>
  <si>
    <t>sarita.phi@trrgroup.com</t>
  </si>
  <si>
    <t>Sarita Phiophueak</t>
  </si>
  <si>
    <t>HQ-TRRCORP-N051</t>
  </si>
  <si>
    <t>HQ-TRRCORP-M015</t>
  </si>
  <si>
    <t>DZQHV33</t>
  </si>
  <si>
    <t>1250</t>
  </si>
  <si>
    <t>araya.nal@trrgroup.com</t>
  </si>
  <si>
    <t>Araya Nalongprom</t>
  </si>
  <si>
    <t>HQ-TRRCORP-N019</t>
  </si>
  <si>
    <t>HQ-TRRCORP-M016</t>
  </si>
  <si>
    <t>TXC0591G074T</t>
  </si>
  <si>
    <t>1215</t>
  </si>
  <si>
    <t>HQ-TRRB-N019</t>
  </si>
  <si>
    <t>nipawan.yim@trrgroup.com</t>
  </si>
  <si>
    <t>Nipawan Yimruk</t>
  </si>
  <si>
    <t>HQ-TRRCORP-N003</t>
  </si>
  <si>
    <t>HQ-TRRCORP-M017</t>
  </si>
  <si>
    <t>F706W83</t>
  </si>
  <si>
    <t>1223</t>
  </si>
  <si>
    <t>HQ-TRRB-N003</t>
  </si>
  <si>
    <t>karan.san@trrgroup.com</t>
  </si>
  <si>
    <t>Karan Santiarayatham</t>
  </si>
  <si>
    <t>HQ-TRRCORP-N094</t>
  </si>
  <si>
    <t xml:space="preserve">L24i-4A </t>
  </si>
  <si>
    <t xml:space="preserve">UMHP2YW8 </t>
  </si>
  <si>
    <t>24H2(26100.5074)</t>
  </si>
  <si>
    <t>1842</t>
  </si>
  <si>
    <t>santi.aka@trrgroup.com</t>
  </si>
  <si>
    <t>Santi Akarathirakawin</t>
  </si>
  <si>
    <t>HQ-TRR-N024</t>
  </si>
  <si>
    <t>23H2</t>
  </si>
  <si>
    <t>คมกฤษ สีเงิน (หมึก)</t>
  </si>
  <si>
    <t>itcenter@trrgroup.com</t>
  </si>
  <si>
    <t>IT Center</t>
  </si>
  <si>
    <t>H-TRRT-N004</t>
  </si>
  <si>
    <t>TXC0591G0ONT</t>
  </si>
  <si>
    <t>25H2</t>
  </si>
  <si>
    <t>TRRHQ-NB-1007</t>
  </si>
  <si>
    <t>PM Asset IT Schedule</t>
  </si>
  <si>
    <t>TRRT</t>
  </si>
  <si>
    <t xml:space="preserve">Project Start Date </t>
  </si>
  <si>
    <t xml:space="preserve">Display Week </t>
  </si>
  <si>
    <t>Device All : ใช้งาน</t>
  </si>
  <si>
    <t>Completed</t>
  </si>
  <si>
    <t>Remaining</t>
  </si>
  <si>
    <t>WBS</t>
  </si>
  <si>
    <t>TASK</t>
  </si>
  <si>
    <t>LEAD</t>
  </si>
  <si>
    <t>Device</t>
  </si>
  <si>
    <t>คงเหลือ</t>
  </si>
  <si>
    <t>START</t>
  </si>
  <si>
    <t>END</t>
  </si>
  <si>
    <t>DAYS</t>
  </si>
  <si>
    <t>% DONE</t>
  </si>
  <si>
    <t>WORK DAYS</t>
  </si>
  <si>
    <t>Progress</t>
  </si>
  <si>
    <t>TRR Corp</t>
  </si>
  <si>
    <t>ACC</t>
  </si>
  <si>
    <t>IT Support</t>
  </si>
  <si>
    <t>FIN</t>
  </si>
  <si>
    <t>HR</t>
  </si>
  <si>
    <t>SAL</t>
  </si>
  <si>
    <t>PLN</t>
  </si>
  <si>
    <t>IT</t>
  </si>
  <si>
    <t>SEC</t>
  </si>
  <si>
    <t>LAW</t>
  </si>
  <si>
    <t>Project</t>
  </si>
  <si>
    <t>MD</t>
  </si>
  <si>
    <t>PUR</t>
  </si>
  <si>
    <t>TRRL</t>
  </si>
  <si>
    <t>Credit</t>
  </si>
  <si>
    <t>FNS</t>
  </si>
  <si>
    <t>PS</t>
  </si>
  <si>
    <t>Audit</t>
  </si>
  <si>
    <t>BUG</t>
  </si>
  <si>
    <t>CAS</t>
  </si>
  <si>
    <t>ERP</t>
  </si>
  <si>
    <t>SSEC</t>
  </si>
  <si>
    <t>OFF</t>
  </si>
  <si>
    <t>EXP</t>
  </si>
  <si>
    <t>TRRP</t>
  </si>
  <si>
    <t>BUI</t>
  </si>
  <si>
    <t>TRM</t>
  </si>
  <si>
    <t>Molas</t>
  </si>
  <si>
    <t>TRR</t>
  </si>
  <si>
    <t>CORS</t>
  </si>
  <si>
    <t>NBS</t>
  </si>
  <si>
    <t>IA</t>
  </si>
  <si>
    <t>R&amp;D</t>
  </si>
  <si>
    <t>TMI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</si>
</sst>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/d/yyyy\ \(dddd\)"/>
    <numFmt numFmtId="165" formatCode="d\ mmm\ yyyy"/>
    <numFmt numFmtId="166" formatCode="d"/>
    <numFmt numFmtId="167" formatCode="ddd\ m/dd/yy"/>
  </numFmts>
  <fonts count="2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4" tint="-0.249977111117893"/>
      <name val="Calibri Light"/>
      <family val="1"/>
      <scheme val="major"/>
    </font>
    <font>
      <sz val="14"/>
      <color indexed="56"/>
      <name val="Arial"/>
      <family val="2"/>
    </font>
    <font>
      <sz val="10"/>
      <name val="Arial"/>
      <family val="2"/>
    </font>
    <font>
      <b/>
      <sz val="11"/>
      <name val="Calibri Light"/>
      <family val="1"/>
      <scheme val="major"/>
    </font>
    <font>
      <sz val="7"/>
      <color indexed="55"/>
      <name val="Arial"/>
      <family val="2"/>
    </font>
    <font>
      <sz val="11"/>
      <name val="Calibri Light"/>
      <family val="1"/>
      <scheme val="major"/>
    </font>
    <font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b/>
      <sz val="12"/>
      <color theme="0"/>
      <name val="Angsana New"/>
    </font>
    <font>
      <sz val="8"/>
      <name val="Arial"/>
      <family val="2"/>
    </font>
    <font>
      <b/>
      <sz val="8"/>
      <color theme="0"/>
      <name val="Angsana New"/>
    </font>
    <font>
      <b/>
      <sz val="9"/>
      <name val="Calibri Light"/>
      <family val="2"/>
      <scheme val="major"/>
    </font>
    <font>
      <sz val="9"/>
      <name val="Calibri"/>
      <family val="2"/>
      <scheme val="minor"/>
    </font>
    <font>
      <u/>
      <sz val="8"/>
      <color indexed="12"/>
      <name val="Arial"/>
      <family val="2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Calibri Light"/>
      <family val="2"/>
      <scheme val="major"/>
    </font>
    <font>
      <b/>
      <u val="double"/>
      <sz val="10"/>
      <name val="Calibri"/>
      <family val="2"/>
      <scheme val="minor"/>
    </font>
    <font>
      <b/>
      <sz val="12"/>
      <color theme="1"/>
      <name val="Angsana New"/>
    </font>
    <font>
      <b/>
      <sz val="10"/>
      <color theme="0"/>
      <name val="Calibri Light"/>
      <family val="2"/>
      <scheme val="major"/>
    </font>
    <font>
      <u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EFEFEF"/>
      </top>
      <bottom style="thin">
        <color rgb="FFEFEFEF"/>
      </bottom>
      <diagonal/>
    </border>
  </borders>
  <cellStyleXfs count="3">
    <xf numFmtId="0" fontId="0" fillId="0" borderId="0"/>
    <xf numFmtId="0" fontId="1" fillId="0" borderId="0" applyNumberFormat="0"/>
    <xf numFmtId="9" fontId="2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quotePrefix="1"/>
    <xf numFmtId="0" fontId="4" fillId="0" borderId="1" xfId="0" applyFont="1" applyBorder="1" applyAlignment="1" applyProtection="1">
      <alignment vertical="center"/>
      <protection locked="0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4" borderId="1" xfId="0" applyFill="1" applyBorder="1"/>
    <xf numFmtId="0" fontId="7" fillId="0" borderId="1" xfId="0" applyFont="1" applyBorder="1" applyProtection="1"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0" fillId="0" borderId="4" xfId="0" applyBorder="1"/>
    <xf numFmtId="0" fontId="0" fillId="0" borderId="5" xfId="0" applyBorder="1"/>
    <xf numFmtId="0" fontId="9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/>
    <xf numFmtId="0" fontId="11" fillId="0" borderId="0" xfId="0" applyFont="1"/>
    <xf numFmtId="0" fontId="0" fillId="0" borderId="10" xfId="0" applyBorder="1"/>
    <xf numFmtId="0" fontId="0" fillId="4" borderId="5" xfId="0" applyFill="1" applyBorder="1"/>
    <xf numFmtId="0" fontId="13" fillId="6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4" borderId="3" xfId="0" applyFill="1" applyBorder="1"/>
    <xf numFmtId="0" fontId="11" fillId="0" borderId="0" xfId="0" applyFont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 shrinkToFit="1"/>
    </xf>
    <xf numFmtId="166" fontId="14" fillId="0" borderId="8" xfId="0" applyNumberFormat="1" applyFont="1" applyBorder="1" applyAlignment="1">
      <alignment horizontal="center" vertical="center" shrinkToFit="1"/>
    </xf>
    <xf numFmtId="166" fontId="14" fillId="0" borderId="9" xfId="0" applyNumberFormat="1" applyFont="1" applyBorder="1" applyAlignment="1">
      <alignment horizontal="center" vertical="center" shrinkToFit="1"/>
    </xf>
    <xf numFmtId="0" fontId="0" fillId="0" borderId="13" xfId="0" applyBorder="1"/>
    <xf numFmtId="0" fontId="0" fillId="0" borderId="1" xfId="0" applyBorder="1" applyAlignment="1">
      <alignment horizontal="right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13" fillId="6" borderId="11" xfId="0" applyFont="1" applyFill="1" applyBorder="1" applyAlignment="1">
      <alignment horizontal="left" vertical="top"/>
    </xf>
    <xf numFmtId="0" fontId="13" fillId="6" borderId="11" xfId="0" applyFont="1" applyFill="1" applyBorder="1" applyAlignment="1">
      <alignment horizontal="center" vertical="top" wrapText="1"/>
    </xf>
    <xf numFmtId="0" fontId="13" fillId="6" borderId="11" xfId="0" applyFont="1" applyFill="1" applyBorder="1" applyAlignment="1">
      <alignment horizontal="center" vertical="top"/>
    </xf>
    <xf numFmtId="0" fontId="15" fillId="6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shrinkToFit="1"/>
    </xf>
    <xf numFmtId="0" fontId="17" fillId="0" borderId="15" xfId="0" applyFont="1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right"/>
    </xf>
    <xf numFmtId="0" fontId="18" fillId="8" borderId="1" xfId="1" applyNumberFormat="1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/>
    <xf numFmtId="0" fontId="5" fillId="4" borderId="1" xfId="0" applyFont="1" applyFill="1" applyBorder="1"/>
    <xf numFmtId="0" fontId="19" fillId="9" borderId="17" xfId="0" applyFont="1" applyFill="1" applyBorder="1" applyAlignment="1">
      <alignment horizontal="left" vertical="center"/>
    </xf>
    <xf numFmtId="0" fontId="19" fillId="9" borderId="17" xfId="0" applyFont="1" applyFill="1" applyBorder="1" applyAlignment="1">
      <alignment vertical="center"/>
    </xf>
    <xf numFmtId="0" fontId="17" fillId="9" borderId="17" xfId="0" applyFont="1" applyFill="1" applyBorder="1" applyAlignment="1">
      <alignment vertical="center"/>
    </xf>
    <xf numFmtId="0" fontId="17" fillId="9" borderId="17" xfId="0" applyFont="1" applyFill="1" applyBorder="1" applyAlignment="1">
      <alignment horizontal="center" vertical="center"/>
    </xf>
    <xf numFmtId="167" fontId="17" fillId="9" borderId="17" xfId="0" applyNumberFormat="1" applyFont="1" applyFill="1" applyBorder="1" applyAlignment="1">
      <alignment horizontal="right" vertical="center"/>
    </xf>
    <xf numFmtId="167" fontId="17" fillId="9" borderId="17" xfId="0" applyNumberFormat="1" applyFont="1" applyFill="1" applyBorder="1" applyAlignment="1">
      <alignment horizontal="center" vertical="center"/>
    </xf>
    <xf numFmtId="1" fontId="17" fillId="9" borderId="17" xfId="2" applyNumberFormat="1" applyFont="1" applyFill="1" applyBorder="1" applyAlignment="1" applyProtection="1">
      <alignment horizontal="center" vertical="center"/>
    </xf>
    <xf numFmtId="9" fontId="17" fillId="9" borderId="17" xfId="2" applyFont="1" applyFill="1" applyBorder="1" applyAlignment="1" applyProtection="1">
      <alignment horizontal="center" vertical="center"/>
    </xf>
    <xf numFmtId="1" fontId="17" fillId="9" borderId="17" xfId="0" applyNumberFormat="1" applyFont="1" applyFill="1" applyBorder="1" applyAlignment="1">
      <alignment horizontal="center" vertical="center"/>
    </xf>
    <xf numFmtId="1" fontId="20" fillId="9" borderId="17" xfId="0" applyNumberFormat="1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left" vertical="center"/>
    </xf>
    <xf numFmtId="0" fontId="17" fillId="9" borderId="18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vertical="center" wrapText="1"/>
    </xf>
    <xf numFmtId="0" fontId="17" fillId="0" borderId="18" xfId="0" applyFont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167" fontId="21" fillId="10" borderId="19" xfId="0" applyNumberFormat="1" applyFont="1" applyFill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1" fontId="21" fillId="11" borderId="19" xfId="0" applyNumberFormat="1" applyFont="1" applyFill="1" applyBorder="1" applyAlignment="1">
      <alignment horizontal="center" vertical="center"/>
    </xf>
    <xf numFmtId="9" fontId="21" fillId="11" borderId="19" xfId="2" applyFont="1" applyFill="1" applyBorder="1" applyAlignment="1" applyProtection="1">
      <alignment horizontal="center" vertical="center"/>
    </xf>
    <xf numFmtId="1" fontId="21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9" fontId="17" fillId="0" borderId="18" xfId="0" applyNumberFormat="1" applyFont="1" applyBorder="1" applyAlignment="1">
      <alignment horizontal="left" vertical="center"/>
    </xf>
    <xf numFmtId="1" fontId="21" fillId="11" borderId="0" xfId="0" applyNumberFormat="1" applyFont="1" applyFill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9" fillId="12" borderId="18" xfId="0" applyFont="1" applyFill="1" applyBorder="1" applyAlignment="1">
      <alignment horizontal="left" vertical="center"/>
    </xf>
    <xf numFmtId="0" fontId="19" fillId="12" borderId="18" xfId="0" applyFont="1" applyFill="1" applyBorder="1" applyAlignment="1">
      <alignment vertical="center"/>
    </xf>
    <xf numFmtId="0" fontId="17" fillId="12" borderId="18" xfId="0" applyFont="1" applyFill="1" applyBorder="1" applyAlignment="1">
      <alignment vertical="center"/>
    </xf>
    <xf numFmtId="0" fontId="17" fillId="12" borderId="18" xfId="0" applyFont="1" applyFill="1" applyBorder="1" applyAlignment="1">
      <alignment horizontal="center" vertical="center"/>
    </xf>
    <xf numFmtId="167" fontId="17" fillId="12" borderId="18" xfId="0" applyNumberFormat="1" applyFont="1" applyFill="1" applyBorder="1" applyAlignment="1">
      <alignment horizontal="center" vertical="center"/>
    </xf>
    <xf numFmtId="1" fontId="17" fillId="12" borderId="18" xfId="2" applyNumberFormat="1" applyFont="1" applyFill="1" applyBorder="1" applyAlignment="1" applyProtection="1">
      <alignment horizontal="center" vertical="center"/>
    </xf>
    <xf numFmtId="9" fontId="17" fillId="12" borderId="18" xfId="2" applyFont="1" applyFill="1" applyBorder="1" applyAlignment="1" applyProtection="1">
      <alignment horizontal="center" vertical="center"/>
    </xf>
    <xf numFmtId="1" fontId="17" fillId="12" borderId="18" xfId="0" applyNumberFormat="1" applyFont="1" applyFill="1" applyBorder="1" applyAlignment="1">
      <alignment horizontal="center" vertical="center"/>
    </xf>
    <xf numFmtId="1" fontId="20" fillId="12" borderId="18" xfId="0" applyNumberFormat="1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horizontal="left" vertical="center"/>
    </xf>
    <xf numFmtId="0" fontId="19" fillId="13" borderId="18" xfId="0" applyFont="1" applyFill="1" applyBorder="1" applyAlignment="1">
      <alignment horizontal="left" vertical="center"/>
    </xf>
    <xf numFmtId="0" fontId="19" fillId="13" borderId="18" xfId="0" applyFont="1" applyFill="1" applyBorder="1" applyAlignment="1">
      <alignment vertical="center"/>
    </xf>
    <xf numFmtId="0" fontId="17" fillId="13" borderId="18" xfId="0" applyFont="1" applyFill="1" applyBorder="1" applyAlignment="1">
      <alignment vertical="center"/>
    </xf>
    <xf numFmtId="0" fontId="17" fillId="13" borderId="18" xfId="0" applyFont="1" applyFill="1" applyBorder="1" applyAlignment="1">
      <alignment horizontal="center" vertical="center"/>
    </xf>
    <xf numFmtId="167" fontId="17" fillId="13" borderId="18" xfId="0" applyNumberFormat="1" applyFont="1" applyFill="1" applyBorder="1" applyAlignment="1">
      <alignment horizontal="center" vertical="center"/>
    </xf>
    <xf numFmtId="1" fontId="17" fillId="13" borderId="18" xfId="2" applyNumberFormat="1" applyFont="1" applyFill="1" applyBorder="1" applyAlignment="1" applyProtection="1">
      <alignment horizontal="center" vertical="center"/>
    </xf>
    <xf numFmtId="9" fontId="17" fillId="13" borderId="18" xfId="2" applyFont="1" applyFill="1" applyBorder="1" applyAlignment="1" applyProtection="1">
      <alignment horizontal="center" vertical="center"/>
    </xf>
    <xf numFmtId="1" fontId="17" fillId="13" borderId="18" xfId="0" applyNumberFormat="1" applyFont="1" applyFill="1" applyBorder="1" applyAlignment="1">
      <alignment horizontal="center" vertical="center"/>
    </xf>
    <xf numFmtId="1" fontId="20" fillId="13" borderId="18" xfId="0" applyNumberFormat="1" applyFont="1" applyFill="1" applyBorder="1" applyAlignment="1">
      <alignment horizontal="center" vertical="center"/>
    </xf>
    <xf numFmtId="0" fontId="17" fillId="13" borderId="18" xfId="0" applyFont="1" applyFill="1" applyBorder="1" applyAlignment="1">
      <alignment horizontal="left" vertical="center"/>
    </xf>
    <xf numFmtId="0" fontId="19" fillId="14" borderId="18" xfId="0" applyFont="1" applyFill="1" applyBorder="1" applyAlignment="1">
      <alignment horizontal="left" vertical="center"/>
    </xf>
    <xf numFmtId="0" fontId="19" fillId="14" borderId="18" xfId="0" applyFont="1" applyFill="1" applyBorder="1" applyAlignment="1">
      <alignment vertical="center"/>
    </xf>
    <xf numFmtId="0" fontId="17" fillId="14" borderId="18" xfId="0" applyFont="1" applyFill="1" applyBorder="1" applyAlignment="1">
      <alignment vertical="center"/>
    </xf>
    <xf numFmtId="0" fontId="17" fillId="14" borderId="18" xfId="0" applyFont="1" applyFill="1" applyBorder="1" applyAlignment="1">
      <alignment horizontal="center" vertical="center"/>
    </xf>
    <xf numFmtId="167" fontId="17" fillId="14" borderId="18" xfId="0" applyNumberFormat="1" applyFont="1" applyFill="1" applyBorder="1" applyAlignment="1">
      <alignment horizontal="center" vertical="center"/>
    </xf>
    <xf numFmtId="1" fontId="17" fillId="14" borderId="18" xfId="2" applyNumberFormat="1" applyFont="1" applyFill="1" applyBorder="1" applyAlignment="1" applyProtection="1">
      <alignment horizontal="center" vertical="center"/>
    </xf>
    <xf numFmtId="9" fontId="17" fillId="14" borderId="18" xfId="2" applyFont="1" applyFill="1" applyBorder="1" applyAlignment="1" applyProtection="1">
      <alignment horizontal="center" vertical="center"/>
    </xf>
    <xf numFmtId="1" fontId="17" fillId="14" borderId="18" xfId="0" applyNumberFormat="1" applyFont="1" applyFill="1" applyBorder="1" applyAlignment="1">
      <alignment horizontal="center" vertical="center"/>
    </xf>
    <xf numFmtId="1" fontId="20" fillId="14" borderId="18" xfId="0" applyNumberFormat="1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left" vertical="center"/>
    </xf>
    <xf numFmtId="1" fontId="23" fillId="0" borderId="19" xfId="0" applyNumberFormat="1" applyFont="1" applyBorder="1" applyAlignment="1">
      <alignment horizontal="center" vertical="center"/>
    </xf>
    <xf numFmtId="0" fontId="19" fillId="15" borderId="18" xfId="0" applyFont="1" applyFill="1" applyBorder="1" applyAlignment="1">
      <alignment horizontal="left" vertical="center"/>
    </xf>
    <xf numFmtId="0" fontId="19" fillId="15" borderId="18" xfId="0" applyFont="1" applyFill="1" applyBorder="1" applyAlignment="1">
      <alignment vertical="center"/>
    </xf>
    <xf numFmtId="0" fontId="17" fillId="15" borderId="18" xfId="0" applyFont="1" applyFill="1" applyBorder="1" applyAlignment="1">
      <alignment vertical="center"/>
    </xf>
    <xf numFmtId="0" fontId="17" fillId="15" borderId="18" xfId="0" applyFont="1" applyFill="1" applyBorder="1" applyAlignment="1">
      <alignment horizontal="center" vertical="center"/>
    </xf>
    <xf numFmtId="167" fontId="17" fillId="15" borderId="18" xfId="0" applyNumberFormat="1" applyFont="1" applyFill="1" applyBorder="1" applyAlignment="1">
      <alignment horizontal="center" vertical="center"/>
    </xf>
    <xf numFmtId="1" fontId="17" fillId="15" borderId="18" xfId="2" applyNumberFormat="1" applyFont="1" applyFill="1" applyBorder="1" applyAlignment="1" applyProtection="1">
      <alignment horizontal="center" vertical="center"/>
    </xf>
    <xf numFmtId="9" fontId="17" fillId="15" borderId="18" xfId="2" applyFont="1" applyFill="1" applyBorder="1" applyAlignment="1" applyProtection="1">
      <alignment horizontal="center" vertical="center"/>
    </xf>
    <xf numFmtId="1" fontId="17" fillId="15" borderId="18" xfId="0" applyNumberFormat="1" applyFont="1" applyFill="1" applyBorder="1" applyAlignment="1">
      <alignment horizontal="center" vertical="center"/>
    </xf>
    <xf numFmtId="1" fontId="20" fillId="15" borderId="18" xfId="0" applyNumberFormat="1" applyFont="1" applyFill="1" applyBorder="1" applyAlignment="1">
      <alignment horizontal="center" vertical="center"/>
    </xf>
    <xf numFmtId="0" fontId="17" fillId="15" borderId="18" xfId="0" applyFont="1" applyFill="1" applyBorder="1" applyAlignment="1">
      <alignment horizontal="left" vertical="center"/>
    </xf>
    <xf numFmtId="0" fontId="19" fillId="16" borderId="17" xfId="0" applyFont="1" applyFill="1" applyBorder="1" applyAlignment="1">
      <alignment horizontal="left" vertical="center"/>
    </xf>
    <xf numFmtId="0" fontId="19" fillId="16" borderId="17" xfId="0" applyFont="1" applyFill="1" applyBorder="1" applyAlignment="1">
      <alignment vertical="center"/>
    </xf>
    <xf numFmtId="0" fontId="17" fillId="16" borderId="17" xfId="0" applyFont="1" applyFill="1" applyBorder="1" applyAlignment="1">
      <alignment vertical="center"/>
    </xf>
    <xf numFmtId="0" fontId="17" fillId="16" borderId="17" xfId="0" applyFont="1" applyFill="1" applyBorder="1" applyAlignment="1">
      <alignment horizontal="center" vertical="center"/>
    </xf>
    <xf numFmtId="167" fontId="17" fillId="16" borderId="17" xfId="0" applyNumberFormat="1" applyFont="1" applyFill="1" applyBorder="1" applyAlignment="1">
      <alignment horizontal="right" vertical="center"/>
    </xf>
    <xf numFmtId="167" fontId="17" fillId="16" borderId="17" xfId="0" applyNumberFormat="1" applyFont="1" applyFill="1" applyBorder="1" applyAlignment="1">
      <alignment horizontal="center" vertical="center"/>
    </xf>
    <xf numFmtId="1" fontId="17" fillId="16" borderId="17" xfId="2" applyNumberFormat="1" applyFont="1" applyFill="1" applyBorder="1" applyAlignment="1" applyProtection="1">
      <alignment horizontal="center" vertical="center"/>
    </xf>
    <xf numFmtId="9" fontId="17" fillId="16" borderId="17" xfId="2" applyFont="1" applyFill="1" applyBorder="1" applyAlignment="1" applyProtection="1">
      <alignment horizontal="center" vertical="center"/>
    </xf>
    <xf numFmtId="1" fontId="17" fillId="16" borderId="17" xfId="0" applyNumberFormat="1" applyFont="1" applyFill="1" applyBorder="1" applyAlignment="1">
      <alignment horizontal="center" vertical="center"/>
    </xf>
    <xf numFmtId="1" fontId="20" fillId="16" borderId="17" xfId="0" applyNumberFormat="1" applyFont="1" applyFill="1" applyBorder="1" applyAlignment="1">
      <alignment horizontal="center" vertical="center"/>
    </xf>
    <xf numFmtId="0" fontId="17" fillId="16" borderId="17" xfId="0" applyFont="1" applyFill="1" applyBorder="1" applyAlignment="1">
      <alignment horizontal="left" vertical="center"/>
    </xf>
    <xf numFmtId="0" fontId="17" fillId="16" borderId="18" xfId="0" applyFont="1" applyFill="1" applyBorder="1" applyAlignment="1">
      <alignment vertical="center"/>
    </xf>
    <xf numFmtId="1" fontId="20" fillId="0" borderId="18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17" borderId="18" xfId="0" applyFont="1" applyFill="1" applyBorder="1" applyAlignment="1">
      <alignment horizontal="left" vertical="center"/>
    </xf>
    <xf numFmtId="0" fontId="19" fillId="17" borderId="18" xfId="0" applyFont="1" applyFill="1" applyBorder="1" applyAlignment="1">
      <alignment vertical="center"/>
    </xf>
    <xf numFmtId="0" fontId="17" fillId="17" borderId="18" xfId="0" applyFont="1" applyFill="1" applyBorder="1" applyAlignment="1">
      <alignment vertical="center"/>
    </xf>
    <xf numFmtId="0" fontId="17" fillId="17" borderId="18" xfId="0" applyFont="1" applyFill="1" applyBorder="1" applyAlignment="1">
      <alignment horizontal="center" vertical="center"/>
    </xf>
    <xf numFmtId="167" fontId="17" fillId="17" borderId="18" xfId="0" applyNumberFormat="1" applyFont="1" applyFill="1" applyBorder="1" applyAlignment="1">
      <alignment horizontal="center" vertical="center"/>
    </xf>
    <xf numFmtId="1" fontId="17" fillId="17" borderId="18" xfId="2" applyNumberFormat="1" applyFont="1" applyFill="1" applyBorder="1" applyAlignment="1" applyProtection="1">
      <alignment horizontal="center" vertical="center"/>
    </xf>
    <xf numFmtId="9" fontId="17" fillId="17" borderId="18" xfId="2" applyFont="1" applyFill="1" applyBorder="1" applyAlignment="1" applyProtection="1">
      <alignment horizontal="center" vertical="center"/>
    </xf>
    <xf numFmtId="1" fontId="17" fillId="17" borderId="18" xfId="0" applyNumberFormat="1" applyFont="1" applyFill="1" applyBorder="1" applyAlignment="1">
      <alignment horizontal="center" vertical="center"/>
    </xf>
    <xf numFmtId="1" fontId="20" fillId="17" borderId="18" xfId="0" applyNumberFormat="1" applyFont="1" applyFill="1" applyBorder="1" applyAlignment="1">
      <alignment horizontal="center" vertical="center"/>
    </xf>
    <xf numFmtId="0" fontId="17" fillId="17" borderId="18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right" vertical="center"/>
    </xf>
    <xf numFmtId="49" fontId="0" fillId="0" borderId="0" xfId="0" applyNumberFormat="1"/>
    <xf numFmtId="49" fontId="0" fillId="0" borderId="0" xfId="0" quotePrefix="1" applyNumberFormat="1"/>
    <xf numFmtId="43" fontId="17" fillId="4" borderId="1" xfId="0" applyNumberFormat="1" applyFont="1" applyFill="1" applyBorder="1" applyAlignment="1">
      <alignment vertical="center"/>
    </xf>
    <xf numFmtId="49" fontId="1" fillId="0" borderId="0" xfId="1" applyNumberFormat="1"/>
    <xf numFmtId="0" fontId="27" fillId="3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6" fillId="4" borderId="11" xfId="0" applyFont="1" applyFill="1" applyBorder="1" applyAlignment="1">
      <alignment horizontal="center" vertical="center" wrapText="1"/>
    </xf>
    <xf numFmtId="0" fontId="25" fillId="18" borderId="6" xfId="0" applyFont="1" applyFill="1" applyBorder="1" applyAlignment="1" applyProtection="1">
      <alignment horizontal="center" vertical="center"/>
      <protection locked="0"/>
    </xf>
    <xf numFmtId="0" fontId="28" fillId="12" borderId="18" xfId="0" applyFont="1" applyFill="1" applyBorder="1" applyAlignment="1">
      <alignment horizontal="center" vertical="center"/>
    </xf>
    <xf numFmtId="0" fontId="28" fillId="16" borderId="17" xfId="0" applyFont="1" applyFill="1" applyBorder="1" applyAlignment="1">
      <alignment horizontal="center" vertical="center"/>
    </xf>
    <xf numFmtId="0" fontId="28" fillId="9" borderId="17" xfId="0" applyFont="1" applyFill="1" applyBorder="1" applyAlignment="1">
      <alignment horizontal="center" vertical="center"/>
    </xf>
    <xf numFmtId="0" fontId="28" fillId="13" borderId="18" xfId="0" applyFont="1" applyFill="1" applyBorder="1" applyAlignment="1">
      <alignment horizontal="center" vertical="center"/>
    </xf>
    <xf numFmtId="0" fontId="28" fillId="14" borderId="18" xfId="0" applyFont="1" applyFill="1" applyBorder="1" applyAlignment="1">
      <alignment horizontal="center" vertical="center"/>
    </xf>
    <xf numFmtId="0" fontId="28" fillId="15" borderId="18" xfId="0" applyFont="1" applyFill="1" applyBorder="1" applyAlignment="1">
      <alignment horizontal="center" vertical="center"/>
    </xf>
    <xf numFmtId="0" fontId="28" fillId="17" borderId="18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" xfId="0" applyFont="1" applyBorder="1" applyAlignment="1" applyProtection="1">
      <alignment horizontal="left" vertical="center"/>
      <protection locked="0"/>
    </xf>
    <xf numFmtId="164" fontId="10" fillId="1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37">
    <dxf>
      <fill>
        <patternFill patternType="solid">
          <bgColor rgb="FF0070C0"/>
        </patternFill>
      </fill>
    </dxf>
    <dxf>
      <fill>
        <patternFill patternType="solid">
          <bgColor theme="1" tint="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theme="5"/>
        </patternFill>
      </fill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E131" totalsRowShown="0">
  <autoFilter ref="A1:AE131" xr:uid="{00000000-0009-0000-0100-000001000000}"/>
  <sortState xmlns:xlrd2="http://schemas.microsoft.com/office/spreadsheetml/2017/richdata2" ref="A2:AE120">
    <sortCondition ref="E1:E120"/>
  </sortState>
  <tableColumns count="31">
    <tableColumn id="4" xr3:uid="{00000000-0010-0000-0000-000004000000}" name="Email" dataDxfId="3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hange Computer Name" dataDxfId="34">
      <extLst>
        <ext xmlns:xlmsforms="http://schemas.microsoft.com/office/spreadsheetml/2023/msForms" uri="{FCC71383-01E1-4257-9335-427F07BE8D7F}">
          <xlmsforms:question id="r743a32b9a3d24334a848cd22a23bfeff"/>
        </ext>
      </extLst>
    </tableColumn>
    <tableColumn id="7" xr3:uid="{00000000-0010-0000-0000-000007000000}" name="Computer Name" dataDxfId="33">
      <extLst>
        <ext xmlns:xlmsforms="http://schemas.microsoft.com/office/spreadsheetml/2023/msForms" uri="{FCC71383-01E1-4257-9335-427F07BE8D7F}">
          <xlmsforms:question id="r3c27a1f153bf455fbed9c4e91b24ff6d"/>
        </ext>
      </extLst>
    </tableColumn>
    <tableColumn id="8" xr3:uid="{00000000-0010-0000-0000-000008000000}" name="Monitor Name 1" dataDxfId="32">
      <extLst>
        <ext xmlns:xlmsforms="http://schemas.microsoft.com/office/spreadsheetml/2023/msForms" uri="{FCC71383-01E1-4257-9335-427F07BE8D7F}">
          <xlmsforms:question id="rf90021e25558433890e25caecd3c4d0f"/>
        </ext>
      </extLst>
    </tableColumn>
    <tableColumn id="9" xr3:uid="{00000000-0010-0000-0000-000009000000}" name="Brand" dataDxfId="31">
      <extLst>
        <ext xmlns:xlmsforms="http://schemas.microsoft.com/office/spreadsheetml/2023/msForms" uri="{FCC71383-01E1-4257-9335-427F07BE8D7F}">
          <xlmsforms:question id="rfb828b5a08ea40969f7a7dc9eb100c32"/>
        </ext>
      </extLst>
    </tableColumn>
    <tableColumn id="10" xr3:uid="{00000000-0010-0000-0000-00000A000000}" name="Model" dataDxfId="30">
      <extLst>
        <ext xmlns:xlmsforms="http://schemas.microsoft.com/office/spreadsheetml/2023/msForms" uri="{FCC71383-01E1-4257-9335-427F07BE8D7F}">
          <xlmsforms:question id="r69a8b14987414ef8a3475e4252d562fd"/>
        </ext>
      </extLst>
    </tableColumn>
    <tableColumn id="11" xr3:uid="{00000000-0010-0000-0000-00000B000000}" name="Service Tag" dataDxfId="29">
      <extLst>
        <ext xmlns:xlmsforms="http://schemas.microsoft.com/office/spreadsheetml/2023/msForms" uri="{FCC71383-01E1-4257-9335-427F07BE8D7F}">
          <xlmsforms:question id="rca5763ae94d8447a9293ccbe142cf5ca"/>
        </ext>
      </extLst>
    </tableColumn>
    <tableColumn id="12" xr3:uid="{00000000-0010-0000-0000-00000C000000}" name="Monitor Name 2" dataDxfId="28">
      <extLst>
        <ext xmlns:xlmsforms="http://schemas.microsoft.com/office/spreadsheetml/2023/msForms" uri="{FCC71383-01E1-4257-9335-427F07BE8D7F}">
          <xlmsforms:question id="r970a681ec3e14ef48a1d5830493c667d"/>
        </ext>
      </extLst>
    </tableColumn>
    <tableColumn id="13" xr3:uid="{00000000-0010-0000-0000-00000D000000}" name="Brand1" dataDxfId="27">
      <extLst>
        <ext xmlns:xlmsforms="http://schemas.microsoft.com/office/spreadsheetml/2023/msForms" uri="{FCC71383-01E1-4257-9335-427F07BE8D7F}">
          <xlmsforms:question id="rf316c1853c3e412cb6c4e8ee434d4f36"/>
        </ext>
      </extLst>
    </tableColumn>
    <tableColumn id="14" xr3:uid="{00000000-0010-0000-0000-00000E000000}" name="Model1" dataDxfId="26">
      <extLst>
        <ext xmlns:xlmsforms="http://schemas.microsoft.com/office/spreadsheetml/2023/msForms" uri="{FCC71383-01E1-4257-9335-427F07BE8D7F}">
          <xlmsforms:question id="r6a0ab01e39424cdc9723daea3a541858"/>
        </ext>
      </extLst>
    </tableColumn>
    <tableColumn id="15" xr3:uid="{00000000-0010-0000-0000-00000F000000}" name="Service Tag1" dataDxfId="25">
      <extLst>
        <ext xmlns:xlmsforms="http://schemas.microsoft.com/office/spreadsheetml/2023/msForms" uri="{FCC71383-01E1-4257-9335-427F07BE8D7F}">
          <xlmsforms:question id="rf6cdc2c45dd84e76a17dfd1d84db5563"/>
        </ext>
      </extLst>
    </tableColumn>
    <tableColumn id="16" xr3:uid="{00000000-0010-0000-0000-000010000000}" name="Windows" dataDxfId="24">
      <extLst>
        <ext xmlns:xlmsforms="http://schemas.microsoft.com/office/spreadsheetml/2023/msForms" uri="{FCC71383-01E1-4257-9335-427F07BE8D7F}">
          <xlmsforms:question id="r7167eff9fde5404b9343f151feb94edb"/>
        </ext>
      </extLst>
    </tableColumn>
    <tableColumn id="17" xr3:uid="{00000000-0010-0000-0000-000011000000}" name="Windows Activate ?" dataDxfId="23">
      <extLst>
        <ext xmlns:xlmsforms="http://schemas.microsoft.com/office/spreadsheetml/2023/msForms" uri="{FCC71383-01E1-4257-9335-427F07BE8D7F}">
          <xlmsforms:question id="rc0997cdc622f4f3f9708df32853a263d"/>
        </ext>
      </extLst>
    </tableColumn>
    <tableColumn id="18" xr3:uid="{00000000-0010-0000-0000-000012000000}" name="Windows version (winver)" dataDxfId="22">
      <extLst>
        <ext xmlns:xlmsforms="http://schemas.microsoft.com/office/spreadsheetml/2023/msForms" uri="{FCC71383-01E1-4257-9335-427F07BE8D7F}">
          <xlmsforms:question id="rfaad132952f34a489f1fb367a4e25d00"/>
        </ext>
      </extLst>
    </tableColumn>
    <tableColumn id="19" xr3:uid="{00000000-0010-0000-0000-000013000000}" name="Office " dataDxfId="21">
      <extLst>
        <ext xmlns:xlmsforms="http://schemas.microsoft.com/office/spreadsheetml/2023/msForms" uri="{FCC71383-01E1-4257-9335-427F07BE8D7F}">
          <xlmsforms:question id="r666840ad7f8840ae9eea2443f1548cf9"/>
        </ext>
      </extLst>
    </tableColumn>
    <tableColumn id="20" xr3:uid="{00000000-0010-0000-0000-000014000000}" name="Office Activate?" dataDxfId="20">
      <extLst>
        <ext xmlns:xlmsforms="http://schemas.microsoft.com/office/spreadsheetml/2023/msForms" uri="{FCC71383-01E1-4257-9335-427F07BE8D7F}">
          <xlmsforms:question id="r3bdaf63dd9a14086baee49de19394e1e"/>
        </ext>
      </extLst>
    </tableColumn>
    <tableColumn id="21" xr3:uid="{00000000-0010-0000-0000-000015000000}" name="update anti virus ?" dataDxfId="19">
      <extLst>
        <ext xmlns:xlmsforms="http://schemas.microsoft.com/office/spreadsheetml/2023/msForms" uri="{FCC71383-01E1-4257-9335-427F07BE8D7F}">
          <xlmsforms:question id="r398db0b98b034e35a1211ec43ccbbd40"/>
        </ext>
      </extLst>
    </tableColumn>
    <tableColumn id="22" xr3:uid="{00000000-0010-0000-0000-000016000000}" name="IP Phone" dataDxfId="18">
      <extLst>
        <ext xmlns:xlmsforms="http://schemas.microsoft.com/office/spreadsheetml/2023/msForms" uri="{FCC71383-01E1-4257-9335-427F07BE8D7F}">
          <xlmsforms:question id="r16dc7f79a9584c36ae37ca704e9c2e42"/>
        </ext>
      </extLst>
    </tableColumn>
    <tableColumn id="23" xr3:uid="{00000000-0010-0000-0000-000017000000}" name="Printer Local ?" dataDxfId="17">
      <extLst>
        <ext xmlns:xlmsforms="http://schemas.microsoft.com/office/spreadsheetml/2023/msForms" uri="{FCC71383-01E1-4257-9335-427F07BE8D7F}">
          <xlmsforms:question id="r3259befee16b4dbabc4471d27ee24d9c"/>
        </ext>
      </extLst>
    </tableColumn>
    <tableColumn id="24" xr3:uid="{00000000-0010-0000-0000-000018000000}" name="UPS ?" dataDxfId="16">
      <extLst>
        <ext xmlns:xlmsforms="http://schemas.microsoft.com/office/spreadsheetml/2023/msForms" uri="{FCC71383-01E1-4257-9335-427F07BE8D7F}">
          <xlmsforms:question id="r1ec0a054dff042bfb667a89bfad9aa35"/>
        </ext>
      </extLst>
    </tableColumn>
    <tableColumn id="25" xr3:uid="{00000000-0010-0000-0000-000019000000}" name="Install agent GLPI 1.6/1.7" dataDxfId="15">
      <extLst>
        <ext xmlns:xlmsforms="http://schemas.microsoft.com/office/spreadsheetml/2023/msForms" uri="{FCC71383-01E1-4257-9335-427F07BE8D7F}">
          <xlmsforms:question id="r809ccab5351c4e1786c3788655db33d0"/>
        </ext>
      </extLst>
    </tableColumn>
    <tableColumn id="26" xr3:uid="{00000000-0010-0000-0000-00001A000000}" name="Install agent spicework" dataDxfId="14">
      <extLst>
        <ext xmlns:xlmsforms="http://schemas.microsoft.com/office/spreadsheetml/2023/msForms" uri="{FCC71383-01E1-4257-9335-427F07BE8D7F}">
          <xlmsforms:question id="r06ee4cd5c9fa4dc7912ad8aa0d59ea07"/>
        </ext>
      </extLst>
    </tableColumn>
    <tableColumn id="27" xr3:uid="{00000000-0010-0000-0000-00001B000000}" name="Change password admin local" dataDxfId="13">
      <extLst>
        <ext xmlns:xlmsforms="http://schemas.microsoft.com/office/spreadsheetml/2023/msForms" uri="{FCC71383-01E1-4257-9335-427F07BE8D7F}">
          <xlmsforms:question id="r72e19ac88550487385c77dc0b8860808"/>
        </ext>
      </extLst>
    </tableColumn>
    <tableColumn id="28" xr3:uid="{00000000-0010-0000-0000-00001C000000}" name="Check USB Policy" dataDxfId="12">
      <extLst>
        <ext xmlns:xlmsforms="http://schemas.microsoft.com/office/spreadsheetml/2023/msForms" uri="{FCC71383-01E1-4257-9335-427F07BE8D7F}">
          <xlmsforms:question id="r5450060fbc344d48ac9e5a3d1cd1ecaf"/>
        </ext>
      </extLst>
    </tableColumn>
    <tableColumn id="29" xr3:uid="{00000000-0010-0000-0000-00001D000000}" name="PC Audit" dataDxfId="11">
      <extLst>
        <ext xmlns:xlmsforms="http://schemas.microsoft.com/office/spreadsheetml/2023/msForms" uri="{FCC71383-01E1-4257-9335-427F07BE8D7F}">
          <xlmsforms:question id="rd15f8aa7908a4375a7ced43f71958286"/>
        </ext>
      </extLst>
    </tableColumn>
    <tableColumn id="30" xr3:uid="{00000000-0010-0000-0000-00001E000000}" name="HW info" dataDxfId="10">
      <extLst>
        <ext xmlns:xlmsforms="http://schemas.microsoft.com/office/spreadsheetml/2023/msForms" uri="{FCC71383-01E1-4257-9335-427F07BE8D7F}">
          <xlmsforms:question id="rc8c88bb8c70147a39dcf0a12fe25a093"/>
        </ext>
      </extLst>
    </tableColumn>
    <tableColumn id="31" xr3:uid="{00000000-0010-0000-0000-00001F000000}" name="Cleaning Device?" dataDxfId="9">
      <extLst>
        <ext xmlns:xlmsforms="http://schemas.microsoft.com/office/spreadsheetml/2023/msForms" uri="{FCC71383-01E1-4257-9335-427F07BE8D7F}">
          <xlmsforms:question id="r6d158ff9e3434521b463a5cca7475ade"/>
        </ext>
      </extLst>
    </tableColumn>
    <tableColumn id="32" xr3:uid="{00000000-0010-0000-0000-000020000000}" name="ปัญหาการใช้งาน มีไหม" dataDxfId="8">
      <extLst>
        <ext xmlns:xlmsforms="http://schemas.microsoft.com/office/spreadsheetml/2023/msForms" uri="{FCC71383-01E1-4257-9335-427F07BE8D7F}">
          <xlmsforms:question id="r2d86b91e68c441c4b10c2dd1e86aa7b2"/>
        </ext>
      </extLst>
    </tableColumn>
    <tableColumn id="33" xr3:uid="{00000000-0010-0000-0000-000021000000}" name="Customer Satisfaction" dataDxfId="7">
      <extLst>
        <ext xmlns:xlmsforms="http://schemas.microsoft.com/office/spreadsheetml/2023/msForms" uri="{FCC71383-01E1-4257-9335-427F07BE8D7F}">
          <xlmsforms:question id="r6ee440a15d524a35a8f922008cee101e"/>
        </ext>
      </extLst>
    </tableColumn>
    <tableColumn id="34" xr3:uid="{00000000-0010-0000-0000-000022000000}" name="Staff Service" dataDxfId="6">
      <extLst>
        <ext xmlns:xlmsforms="http://schemas.microsoft.com/office/spreadsheetml/2023/msForms" uri="{FCC71383-01E1-4257-9335-427F07BE8D7F}">
          <xlmsforms:question id="rabe8111318c9424dbdb17d86c4cd071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-g3jcWx3l0K8EqExL-r3kF6t0hhUk3lOrvEzVpFktmpUMkhHR1BKNkIxWTJLTk5ZTzVHTDdWNFVHMi4u" isFormConnected="1" maxResponseId="131" latestEventMarker="13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r743a32b9a3d24334a848cd22a23bfeff</xlmsforms:syncedQuestionId>
        <xlmsforms:syncedQuestionId>r3c27a1f153bf455fbed9c4e91b24ff6d</xlmsforms:syncedQuestionId>
        <xlmsforms:syncedQuestionId>rf90021e25558433890e25caecd3c4d0f</xlmsforms:syncedQuestionId>
        <xlmsforms:syncedQuestionId>rfb828b5a08ea40969f7a7dc9eb100c32</xlmsforms:syncedQuestionId>
        <xlmsforms:syncedQuestionId>r69a8b14987414ef8a3475e4252d562fd</xlmsforms:syncedQuestionId>
        <xlmsforms:syncedQuestionId>rca5763ae94d8447a9293ccbe142cf5ca</xlmsforms:syncedQuestionId>
        <xlmsforms:syncedQuestionId>r970a681ec3e14ef48a1d5830493c667d</xlmsforms:syncedQuestionId>
        <xlmsforms:syncedQuestionId>rf316c1853c3e412cb6c4e8ee434d4f36</xlmsforms:syncedQuestionId>
        <xlmsforms:syncedQuestionId>r6a0ab01e39424cdc9723daea3a541858</xlmsforms:syncedQuestionId>
        <xlmsforms:syncedQuestionId>rf6cdc2c45dd84e76a17dfd1d84db5563</xlmsforms:syncedQuestionId>
        <xlmsforms:syncedQuestionId>r7167eff9fde5404b9343f151feb94edb</xlmsforms:syncedQuestionId>
        <xlmsforms:syncedQuestionId>rc0997cdc622f4f3f9708df32853a263d</xlmsforms:syncedQuestionId>
        <xlmsforms:syncedQuestionId>rfaad132952f34a489f1fb367a4e25d00</xlmsforms:syncedQuestionId>
        <xlmsforms:syncedQuestionId>r666840ad7f8840ae9eea2443f1548cf9</xlmsforms:syncedQuestionId>
        <xlmsforms:syncedQuestionId>r3bdaf63dd9a14086baee49de19394e1e</xlmsforms:syncedQuestionId>
        <xlmsforms:syncedQuestionId>r398db0b98b034e35a1211ec43ccbbd40</xlmsforms:syncedQuestionId>
        <xlmsforms:syncedQuestionId>r16dc7f79a9584c36ae37ca704e9c2e42</xlmsforms:syncedQuestionId>
        <xlmsforms:syncedQuestionId>r3259befee16b4dbabc4471d27ee24d9c</xlmsforms:syncedQuestionId>
        <xlmsforms:syncedQuestionId>r1ec0a054dff042bfb667a89bfad9aa35</xlmsforms:syncedQuestionId>
        <xlmsforms:syncedQuestionId>r809ccab5351c4e1786c3788655db33d0</xlmsforms:syncedQuestionId>
        <xlmsforms:syncedQuestionId>r06ee4cd5c9fa4dc7912ad8aa0d59ea07</xlmsforms:syncedQuestionId>
        <xlmsforms:syncedQuestionId>r72e19ac88550487385c77dc0b8860808</xlmsforms:syncedQuestionId>
        <xlmsforms:syncedQuestionId>r5450060fbc344d48ac9e5a3d1cd1ecaf</xlmsforms:syncedQuestionId>
        <xlmsforms:syncedQuestionId>rd15f8aa7908a4375a7ced43f71958286</xlmsforms:syncedQuestionId>
        <xlmsforms:syncedQuestionId>rc8c88bb8c70147a39dcf0a12fe25a093</xlmsforms:syncedQuestionId>
        <xlmsforms:syncedQuestionId>r6d158ff9e3434521b463a5cca7475ade</xlmsforms:syncedQuestionId>
        <xlmsforms:syncedQuestionId>r2d86b91e68c441c4b10c2dd1e86aa7b2</xlmsforms:syncedQuestionId>
        <xlmsforms:syncedQuestionId>r6ee440a15d524a35a8f922008cee101e</xlmsforms:syncedQuestionId>
        <xlmsforms:syncedQuestionId>rabe8111318c9424dbdb17d86c4cd071d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tthara.ton@trrgroup.com" TargetMode="External"/><Relationship Id="rId13" Type="http://schemas.openxmlformats.org/officeDocument/2006/relationships/hyperlink" Target="mailto:suchaya.cha@trrgroup.com" TargetMode="External"/><Relationship Id="rId3" Type="http://schemas.openxmlformats.org/officeDocument/2006/relationships/hyperlink" Target="mailto:panita.buc@trrgroup.com" TargetMode="External"/><Relationship Id="rId7" Type="http://schemas.openxmlformats.org/officeDocument/2006/relationships/hyperlink" Target="mailto:wacharinthip.wan@trrgroup.com" TargetMode="External"/><Relationship Id="rId12" Type="http://schemas.openxmlformats.org/officeDocument/2006/relationships/hyperlink" Target="mailto:issara.kam@trrgroup.com" TargetMode="External"/><Relationship Id="rId2" Type="http://schemas.openxmlformats.org/officeDocument/2006/relationships/hyperlink" Target="mailto:nirada.kla@trrgroup.com" TargetMode="External"/><Relationship Id="rId1" Type="http://schemas.openxmlformats.org/officeDocument/2006/relationships/hyperlink" Target="mailto:atiwat.tra@trrgroup.com" TargetMode="External"/><Relationship Id="rId6" Type="http://schemas.openxmlformats.org/officeDocument/2006/relationships/hyperlink" Target="mailto:cholthicha.pao@trrgroup.com" TargetMode="External"/><Relationship Id="rId11" Type="http://schemas.openxmlformats.org/officeDocument/2006/relationships/hyperlink" Target="mailto:anant.sri@trrgroup.com" TargetMode="External"/><Relationship Id="rId5" Type="http://schemas.openxmlformats.org/officeDocument/2006/relationships/hyperlink" Target="mailto:kanyarat.wor@trrgroup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kamonchanok.boo@trrgroup.com" TargetMode="External"/><Relationship Id="rId4" Type="http://schemas.openxmlformats.org/officeDocument/2006/relationships/hyperlink" Target="mailto:rachatawan.sri@trrgroup.com" TargetMode="External"/><Relationship Id="rId9" Type="http://schemas.openxmlformats.org/officeDocument/2006/relationships/hyperlink" Target="mailto:supapron.pot@trrgroup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1"/>
  <sheetViews>
    <sheetView tabSelected="1" workbookViewId="0">
      <selection activeCell="C13" sqref="C13"/>
    </sheetView>
  </sheetViews>
  <sheetFormatPr defaultRowHeight="14.4" x14ac:dyDescent="0.3"/>
  <cols>
    <col min="1" max="1" width="31.33203125" bestFit="1" customWidth="1"/>
    <col min="2" max="2" width="28.88671875" bestFit="1" customWidth="1"/>
    <col min="3" max="3" width="25.5546875" bestFit="1" customWidth="1"/>
    <col min="4" max="4" width="18.44140625" bestFit="1" customWidth="1"/>
    <col min="5" max="5" width="18.33203125" bestFit="1" customWidth="1"/>
    <col min="6" max="6" width="10.6640625" bestFit="1" customWidth="1"/>
    <col min="7" max="7" width="10.88671875" bestFit="1" customWidth="1"/>
    <col min="8" max="8" width="16" bestFit="1" customWidth="1"/>
    <col min="9" max="9" width="20.109375" bestFit="1" customWidth="1"/>
    <col min="10" max="10" width="9.88671875" bestFit="1" customWidth="1"/>
    <col min="11" max="11" width="20.44140625" bestFit="1" customWidth="1"/>
    <col min="12" max="12" width="14.5546875" bestFit="1" customWidth="1"/>
    <col min="13" max="13" width="12" bestFit="1" customWidth="1"/>
    <col min="14" max="14" width="21.44140625" bestFit="1" customWidth="1"/>
    <col min="15" max="15" width="27.109375" bestFit="1" customWidth="1"/>
    <col min="16" max="16" width="9.109375" bestFit="1" customWidth="1"/>
    <col min="17" max="17" width="17.6640625" bestFit="1" customWidth="1"/>
    <col min="18" max="18" width="20.33203125" bestFit="1" customWidth="1"/>
    <col min="19" max="19" width="11.33203125" bestFit="1" customWidth="1"/>
    <col min="20" max="20" width="16.33203125" bestFit="1" customWidth="1"/>
    <col min="21" max="21" width="8.44140625" bestFit="1" customWidth="1"/>
    <col min="22" max="22" width="26.109375" bestFit="1" customWidth="1"/>
    <col min="23" max="23" width="24.33203125" bestFit="1" customWidth="1"/>
    <col min="24" max="24" width="30.44140625" bestFit="1" customWidth="1"/>
    <col min="25" max="25" width="18.6640625" bestFit="1" customWidth="1"/>
    <col min="26" max="26" width="11" bestFit="1" customWidth="1"/>
    <col min="27" max="27" width="10.6640625" bestFit="1" customWidth="1"/>
    <col min="28" max="28" width="18.5546875" bestFit="1" customWidth="1"/>
    <col min="29" max="29" width="33.44140625" bestFit="1" customWidth="1"/>
    <col min="30" max="30" width="23.33203125" bestFit="1" customWidth="1"/>
    <col min="31" max="31" width="22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t="s">
        <v>36</v>
      </c>
      <c r="N2" t="s">
        <v>33</v>
      </c>
      <c r="O2" t="s">
        <v>37</v>
      </c>
      <c r="P2" t="s">
        <v>38</v>
      </c>
      <c r="Q2" t="s">
        <v>33</v>
      </c>
      <c r="R2" t="s">
        <v>33</v>
      </c>
      <c r="S2" s="1" t="s">
        <v>39</v>
      </c>
      <c r="T2" t="s">
        <v>40</v>
      </c>
      <c r="U2" t="s">
        <v>40</v>
      </c>
      <c r="V2" t="s">
        <v>33</v>
      </c>
      <c r="W2" t="s">
        <v>41</v>
      </c>
      <c r="X2" t="s">
        <v>40</v>
      </c>
      <c r="Y2" t="s">
        <v>33</v>
      </c>
      <c r="Z2" t="s">
        <v>33</v>
      </c>
      <c r="AA2" t="s">
        <v>33</v>
      </c>
      <c r="AB2" t="s">
        <v>33</v>
      </c>
      <c r="AD2">
        <v>5</v>
      </c>
      <c r="AE2" t="s">
        <v>42</v>
      </c>
    </row>
    <row r="3" spans="1:31" x14ac:dyDescent="0.3">
      <c r="A3" t="s">
        <v>43</v>
      </c>
      <c r="B3" t="s">
        <v>44</v>
      </c>
      <c r="C3" t="s">
        <v>40</v>
      </c>
      <c r="D3" t="s">
        <v>45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35</v>
      </c>
      <c r="J3" s="1" t="s">
        <v>35</v>
      </c>
      <c r="K3" s="1" t="s">
        <v>35</v>
      </c>
      <c r="L3" s="1" t="s">
        <v>35</v>
      </c>
      <c r="M3" t="s">
        <v>46</v>
      </c>
      <c r="N3" t="s">
        <v>33</v>
      </c>
      <c r="O3" t="s">
        <v>47</v>
      </c>
      <c r="P3" t="s">
        <v>38</v>
      </c>
      <c r="Q3" t="s">
        <v>33</v>
      </c>
      <c r="R3" t="s">
        <v>33</v>
      </c>
      <c r="S3" s="1" t="s">
        <v>48</v>
      </c>
      <c r="T3" t="s">
        <v>40</v>
      </c>
      <c r="U3" t="s">
        <v>40</v>
      </c>
      <c r="V3" t="s">
        <v>33</v>
      </c>
      <c r="W3" t="s">
        <v>41</v>
      </c>
      <c r="X3" t="s">
        <v>40</v>
      </c>
      <c r="Y3" t="s">
        <v>40</v>
      </c>
      <c r="Z3" t="s">
        <v>33</v>
      </c>
      <c r="AA3" t="s">
        <v>33</v>
      </c>
      <c r="AB3" t="s">
        <v>33</v>
      </c>
      <c r="AC3" t="s">
        <v>49</v>
      </c>
      <c r="AD3">
        <v>4</v>
      </c>
      <c r="AE3" t="s">
        <v>50</v>
      </c>
    </row>
    <row r="4" spans="1:31" x14ac:dyDescent="0.3">
      <c r="A4" t="s">
        <v>51</v>
      </c>
      <c r="B4" t="s">
        <v>52</v>
      </c>
      <c r="C4" t="s">
        <v>40</v>
      </c>
      <c r="D4" t="s">
        <v>53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t="s">
        <v>46</v>
      </c>
      <c r="N4" t="s">
        <v>33</v>
      </c>
      <c r="O4" t="s">
        <v>47</v>
      </c>
      <c r="P4" t="s">
        <v>38</v>
      </c>
      <c r="Q4" t="s">
        <v>33</v>
      </c>
      <c r="R4" t="s">
        <v>33</v>
      </c>
      <c r="S4" s="1" t="s">
        <v>54</v>
      </c>
      <c r="T4" t="s">
        <v>40</v>
      </c>
      <c r="U4" t="s">
        <v>40</v>
      </c>
      <c r="V4" t="s">
        <v>33</v>
      </c>
      <c r="W4" t="s">
        <v>41</v>
      </c>
      <c r="X4" t="s">
        <v>40</v>
      </c>
      <c r="Y4" t="s">
        <v>33</v>
      </c>
      <c r="Z4" t="s">
        <v>33</v>
      </c>
      <c r="AA4" t="s">
        <v>33</v>
      </c>
      <c r="AB4" t="s">
        <v>33</v>
      </c>
      <c r="AD4">
        <v>5</v>
      </c>
      <c r="AE4" t="s">
        <v>42</v>
      </c>
    </row>
    <row r="5" spans="1:31" x14ac:dyDescent="0.3">
      <c r="A5" t="s">
        <v>55</v>
      </c>
      <c r="B5" t="s">
        <v>56</v>
      </c>
      <c r="C5" t="s">
        <v>40</v>
      </c>
      <c r="D5" t="s">
        <v>57</v>
      </c>
      <c r="E5" s="1" t="s">
        <v>35</v>
      </c>
      <c r="F5" t="s">
        <v>58</v>
      </c>
      <c r="G5" t="s">
        <v>59</v>
      </c>
      <c r="H5" t="s">
        <v>60</v>
      </c>
      <c r="I5" s="1" t="s">
        <v>35</v>
      </c>
      <c r="J5" s="1" t="s">
        <v>35</v>
      </c>
      <c r="K5" s="1" t="s">
        <v>35</v>
      </c>
      <c r="L5" s="1" t="s">
        <v>35</v>
      </c>
      <c r="M5" t="s">
        <v>36</v>
      </c>
      <c r="N5" t="s">
        <v>33</v>
      </c>
      <c r="O5" t="s">
        <v>37</v>
      </c>
      <c r="P5" t="s">
        <v>38</v>
      </c>
      <c r="Q5" t="s">
        <v>33</v>
      </c>
      <c r="R5" t="s">
        <v>33</v>
      </c>
      <c r="S5" s="1" t="s">
        <v>35</v>
      </c>
      <c r="T5" t="s">
        <v>40</v>
      </c>
      <c r="U5" t="s">
        <v>40</v>
      </c>
      <c r="V5" t="s">
        <v>33</v>
      </c>
      <c r="W5" t="s">
        <v>41</v>
      </c>
      <c r="X5" t="s">
        <v>40</v>
      </c>
      <c r="Y5" t="s">
        <v>33</v>
      </c>
      <c r="Z5" t="s">
        <v>33</v>
      </c>
      <c r="AA5" t="s">
        <v>33</v>
      </c>
      <c r="AB5" t="s">
        <v>33</v>
      </c>
      <c r="AD5">
        <v>5</v>
      </c>
      <c r="AE5" t="s">
        <v>42</v>
      </c>
    </row>
    <row r="6" spans="1:31" x14ac:dyDescent="0.3">
      <c r="A6" s="136" t="s">
        <v>61</v>
      </c>
      <c r="B6" s="136" t="s">
        <v>62</v>
      </c>
      <c r="C6" s="136" t="s">
        <v>40</v>
      </c>
      <c r="D6" s="136" t="s">
        <v>63</v>
      </c>
      <c r="E6" s="137" t="s">
        <v>35</v>
      </c>
      <c r="F6" s="137" t="s">
        <v>35</v>
      </c>
      <c r="G6" s="137" t="s">
        <v>35</v>
      </c>
      <c r="H6" s="137" t="s">
        <v>35</v>
      </c>
      <c r="I6" s="137" t="s">
        <v>35</v>
      </c>
      <c r="J6" s="137" t="s">
        <v>35</v>
      </c>
      <c r="K6" s="137" t="s">
        <v>35</v>
      </c>
      <c r="L6" s="137" t="s">
        <v>35</v>
      </c>
      <c r="M6" s="136" t="s">
        <v>36</v>
      </c>
      <c r="N6" s="136" t="s">
        <v>40</v>
      </c>
      <c r="O6" s="136" t="s">
        <v>64</v>
      </c>
      <c r="P6" s="137" t="s">
        <v>38</v>
      </c>
      <c r="Q6" s="136" t="s">
        <v>33</v>
      </c>
      <c r="R6" s="136" t="s">
        <v>33</v>
      </c>
      <c r="S6" s="137" t="s">
        <v>65</v>
      </c>
      <c r="T6" s="136" t="s">
        <v>40</v>
      </c>
      <c r="U6" s="136" t="s">
        <v>40</v>
      </c>
      <c r="V6" s="136" t="s">
        <v>33</v>
      </c>
      <c r="W6" s="136" t="s">
        <v>41</v>
      </c>
      <c r="X6" s="136" t="s">
        <v>40</v>
      </c>
      <c r="Y6" s="136" t="s">
        <v>33</v>
      </c>
      <c r="Z6" s="136" t="s">
        <v>33</v>
      </c>
      <c r="AA6" s="136" t="s">
        <v>33</v>
      </c>
      <c r="AB6" s="136" t="s">
        <v>33</v>
      </c>
      <c r="AC6" s="136" t="s">
        <v>49</v>
      </c>
      <c r="AD6">
        <v>4</v>
      </c>
      <c r="AE6" s="136" t="s">
        <v>50</v>
      </c>
    </row>
    <row r="7" spans="1:31" x14ac:dyDescent="0.3">
      <c r="A7" s="136" t="s">
        <v>66</v>
      </c>
      <c r="B7" s="136" t="s">
        <v>67</v>
      </c>
      <c r="C7" s="136" t="s">
        <v>40</v>
      </c>
      <c r="D7" s="136" t="s">
        <v>68</v>
      </c>
      <c r="E7" s="137" t="s">
        <v>35</v>
      </c>
      <c r="F7" s="137" t="s">
        <v>35</v>
      </c>
      <c r="G7" s="137" t="s">
        <v>35</v>
      </c>
      <c r="H7" s="137" t="s">
        <v>35</v>
      </c>
      <c r="I7" s="137" t="s">
        <v>35</v>
      </c>
      <c r="J7" s="137" t="s">
        <v>35</v>
      </c>
      <c r="K7" s="137" t="s">
        <v>35</v>
      </c>
      <c r="L7" s="137" t="s">
        <v>35</v>
      </c>
      <c r="M7" s="136" t="s">
        <v>46</v>
      </c>
      <c r="N7" s="136" t="s">
        <v>40</v>
      </c>
      <c r="O7" s="136" t="s">
        <v>69</v>
      </c>
      <c r="P7" s="137" t="s">
        <v>70</v>
      </c>
      <c r="Q7" s="136" t="s">
        <v>40</v>
      </c>
      <c r="R7" s="136" t="s">
        <v>33</v>
      </c>
      <c r="S7" s="137" t="s">
        <v>35</v>
      </c>
      <c r="T7" s="136" t="s">
        <v>40</v>
      </c>
      <c r="U7" s="136" t="s">
        <v>40</v>
      </c>
      <c r="V7" s="136" t="s">
        <v>33</v>
      </c>
      <c r="W7" s="136" t="s">
        <v>41</v>
      </c>
      <c r="X7" s="136" t="s">
        <v>40</v>
      </c>
      <c r="Y7" s="136" t="s">
        <v>33</v>
      </c>
      <c r="Z7" s="136" t="s">
        <v>33</v>
      </c>
      <c r="AA7" s="136" t="s">
        <v>33</v>
      </c>
      <c r="AB7" s="136" t="s">
        <v>33</v>
      </c>
      <c r="AC7" s="136"/>
      <c r="AD7">
        <v>5</v>
      </c>
      <c r="AE7" s="136" t="s">
        <v>42</v>
      </c>
    </row>
    <row r="8" spans="1:31" x14ac:dyDescent="0.3">
      <c r="A8" s="136" t="s">
        <v>71</v>
      </c>
      <c r="B8" s="136" t="s">
        <v>72</v>
      </c>
      <c r="C8" s="136" t="s">
        <v>40</v>
      </c>
      <c r="D8" s="136" t="s">
        <v>73</v>
      </c>
      <c r="E8" s="137" t="s">
        <v>35</v>
      </c>
      <c r="F8" s="137" t="s">
        <v>35</v>
      </c>
      <c r="G8" s="137" t="s">
        <v>35</v>
      </c>
      <c r="H8" s="137" t="s">
        <v>35</v>
      </c>
      <c r="I8" s="137" t="s">
        <v>35</v>
      </c>
      <c r="J8" s="137" t="s">
        <v>35</v>
      </c>
      <c r="K8" s="137" t="s">
        <v>35</v>
      </c>
      <c r="L8" s="137" t="s">
        <v>35</v>
      </c>
      <c r="M8" s="136" t="s">
        <v>36</v>
      </c>
      <c r="N8" s="136" t="s">
        <v>33</v>
      </c>
      <c r="O8" s="136" t="s">
        <v>74</v>
      </c>
      <c r="P8" s="137" t="s">
        <v>38</v>
      </c>
      <c r="Q8" s="136" t="s">
        <v>33</v>
      </c>
      <c r="R8" s="136" t="s">
        <v>33</v>
      </c>
      <c r="S8" s="137" t="s">
        <v>75</v>
      </c>
      <c r="T8" s="136" t="s">
        <v>33</v>
      </c>
      <c r="U8" s="136" t="s">
        <v>40</v>
      </c>
      <c r="V8" s="136" t="s">
        <v>40</v>
      </c>
      <c r="W8" s="136" t="s">
        <v>41</v>
      </c>
      <c r="X8" s="136" t="s">
        <v>40</v>
      </c>
      <c r="Y8" s="136" t="s">
        <v>33</v>
      </c>
      <c r="Z8" s="136" t="s">
        <v>33</v>
      </c>
      <c r="AA8" s="136" t="s">
        <v>33</v>
      </c>
      <c r="AB8" s="136" t="s">
        <v>33</v>
      </c>
      <c r="AC8" s="136" t="s">
        <v>49</v>
      </c>
      <c r="AD8">
        <v>4</v>
      </c>
      <c r="AE8" s="136" t="s">
        <v>50</v>
      </c>
    </row>
    <row r="9" spans="1:31" x14ac:dyDescent="0.3">
      <c r="A9" s="136" t="s">
        <v>76</v>
      </c>
      <c r="B9" s="136" t="s">
        <v>77</v>
      </c>
      <c r="C9" s="136" t="s">
        <v>40</v>
      </c>
      <c r="D9" s="136" t="s">
        <v>78</v>
      </c>
      <c r="E9" s="137" t="s">
        <v>35</v>
      </c>
      <c r="F9" s="137" t="s">
        <v>35</v>
      </c>
      <c r="G9" s="137" t="s">
        <v>35</v>
      </c>
      <c r="H9" s="137" t="s">
        <v>35</v>
      </c>
      <c r="I9" s="137" t="s">
        <v>35</v>
      </c>
      <c r="J9" s="137" t="s">
        <v>35</v>
      </c>
      <c r="K9" s="137" t="s">
        <v>35</v>
      </c>
      <c r="L9" s="137" t="s">
        <v>35</v>
      </c>
      <c r="M9" s="136" t="s">
        <v>46</v>
      </c>
      <c r="N9" s="136" t="s">
        <v>33</v>
      </c>
      <c r="O9" s="136" t="s">
        <v>79</v>
      </c>
      <c r="P9" s="137" t="s">
        <v>38</v>
      </c>
      <c r="Q9" s="136" t="s">
        <v>33</v>
      </c>
      <c r="R9" s="136" t="s">
        <v>33</v>
      </c>
      <c r="S9" s="137" t="s">
        <v>80</v>
      </c>
      <c r="T9" s="136" t="s">
        <v>40</v>
      </c>
      <c r="U9" s="136" t="s">
        <v>40</v>
      </c>
      <c r="V9" s="136" t="s">
        <v>33</v>
      </c>
      <c r="W9" s="136" t="s">
        <v>41</v>
      </c>
      <c r="X9" s="136" t="s">
        <v>40</v>
      </c>
      <c r="Y9" s="136" t="s">
        <v>33</v>
      </c>
      <c r="Z9" s="136" t="s">
        <v>33</v>
      </c>
      <c r="AA9" s="136" t="s">
        <v>33</v>
      </c>
      <c r="AB9" s="136" t="s">
        <v>33</v>
      </c>
      <c r="AC9" s="136"/>
      <c r="AD9">
        <v>5</v>
      </c>
      <c r="AE9" s="136" t="s">
        <v>42</v>
      </c>
    </row>
    <row r="10" spans="1:31" x14ac:dyDescent="0.3">
      <c r="A10" s="136" t="s">
        <v>55</v>
      </c>
      <c r="B10" s="136" t="s">
        <v>56</v>
      </c>
      <c r="C10" s="136" t="s">
        <v>40</v>
      </c>
      <c r="D10" s="136" t="s">
        <v>81</v>
      </c>
      <c r="E10" s="137" t="s">
        <v>35</v>
      </c>
      <c r="F10" s="137" t="s">
        <v>35</v>
      </c>
      <c r="G10" s="137" t="s">
        <v>35</v>
      </c>
      <c r="H10" s="137" t="s">
        <v>35</v>
      </c>
      <c r="I10" s="137" t="s">
        <v>35</v>
      </c>
      <c r="J10" s="137" t="s">
        <v>35</v>
      </c>
      <c r="K10" s="137" t="s">
        <v>35</v>
      </c>
      <c r="L10" s="137" t="s">
        <v>35</v>
      </c>
      <c r="M10" s="136" t="s">
        <v>36</v>
      </c>
      <c r="N10" s="136" t="s">
        <v>33</v>
      </c>
      <c r="O10" s="136" t="s">
        <v>82</v>
      </c>
      <c r="P10" s="137" t="s">
        <v>83</v>
      </c>
      <c r="Q10" s="136" t="s">
        <v>40</v>
      </c>
      <c r="R10" s="136" t="s">
        <v>33</v>
      </c>
      <c r="S10" s="137" t="s">
        <v>35</v>
      </c>
      <c r="T10" s="136" t="s">
        <v>40</v>
      </c>
      <c r="U10" s="136" t="s">
        <v>40</v>
      </c>
      <c r="V10" s="136" t="s">
        <v>33</v>
      </c>
      <c r="W10" s="136" t="s">
        <v>41</v>
      </c>
      <c r="X10" s="136" t="s">
        <v>33</v>
      </c>
      <c r="Y10" s="136" t="s">
        <v>33</v>
      </c>
      <c r="Z10" s="136" t="s">
        <v>33</v>
      </c>
      <c r="AA10" s="136" t="s">
        <v>33</v>
      </c>
      <c r="AB10" s="136" t="s">
        <v>33</v>
      </c>
      <c r="AC10" s="136"/>
      <c r="AD10">
        <v>5</v>
      </c>
      <c r="AE10" s="136" t="s">
        <v>42</v>
      </c>
    </row>
    <row r="11" spans="1:31" x14ac:dyDescent="0.3">
      <c r="A11" t="s">
        <v>84</v>
      </c>
      <c r="B11" t="s">
        <v>85</v>
      </c>
      <c r="C11" s="136" t="s">
        <v>40</v>
      </c>
      <c r="D11" s="136" t="s">
        <v>86</v>
      </c>
      <c r="E11" s="137" t="s">
        <v>35</v>
      </c>
      <c r="F11" s="137" t="s">
        <v>35</v>
      </c>
      <c r="G11" s="137" t="s">
        <v>35</v>
      </c>
      <c r="H11" s="137" t="s">
        <v>35</v>
      </c>
      <c r="I11" s="137" t="s">
        <v>35</v>
      </c>
      <c r="J11" s="137" t="s">
        <v>35</v>
      </c>
      <c r="K11" s="137" t="s">
        <v>35</v>
      </c>
      <c r="L11" s="137" t="s">
        <v>35</v>
      </c>
      <c r="M11" s="136" t="s">
        <v>36</v>
      </c>
      <c r="N11" s="136" t="s">
        <v>33</v>
      </c>
      <c r="O11" s="136" t="s">
        <v>37</v>
      </c>
      <c r="P11" s="137" t="s">
        <v>38</v>
      </c>
      <c r="Q11" s="136" t="s">
        <v>40</v>
      </c>
      <c r="R11" s="136" t="s">
        <v>33</v>
      </c>
      <c r="S11" s="137" t="s">
        <v>35</v>
      </c>
      <c r="T11" s="136" t="s">
        <v>40</v>
      </c>
      <c r="U11" s="136" t="s">
        <v>40</v>
      </c>
      <c r="V11" s="136" t="s">
        <v>33</v>
      </c>
      <c r="W11" s="136" t="s">
        <v>41</v>
      </c>
      <c r="X11" s="136" t="s">
        <v>33</v>
      </c>
      <c r="Y11" s="136" t="s">
        <v>33</v>
      </c>
      <c r="Z11" s="136" t="s">
        <v>33</v>
      </c>
      <c r="AA11" s="136" t="s">
        <v>33</v>
      </c>
      <c r="AB11" s="136" t="s">
        <v>33</v>
      </c>
      <c r="AC11" s="136"/>
      <c r="AD11">
        <v>5</v>
      </c>
      <c r="AE11" s="136" t="s">
        <v>42</v>
      </c>
    </row>
    <row r="12" spans="1:31" x14ac:dyDescent="0.3">
      <c r="A12" s="136" t="s">
        <v>55</v>
      </c>
      <c r="B12" s="136" t="s">
        <v>56</v>
      </c>
      <c r="C12" s="136" t="s">
        <v>40</v>
      </c>
      <c r="D12" s="136" t="s">
        <v>87</v>
      </c>
      <c r="E12" s="137" t="s">
        <v>35</v>
      </c>
      <c r="F12" s="137" t="s">
        <v>35</v>
      </c>
      <c r="G12" s="137" t="s">
        <v>35</v>
      </c>
      <c r="H12" s="137" t="s">
        <v>35</v>
      </c>
      <c r="I12" s="137" t="s">
        <v>35</v>
      </c>
      <c r="J12" s="137" t="s">
        <v>35</v>
      </c>
      <c r="K12" s="137" t="s">
        <v>35</v>
      </c>
      <c r="L12" s="137" t="s">
        <v>35</v>
      </c>
      <c r="M12" s="136" t="s">
        <v>46</v>
      </c>
      <c r="N12" s="136" t="s">
        <v>33</v>
      </c>
      <c r="O12" s="136" t="s">
        <v>88</v>
      </c>
      <c r="P12" s="137" t="s">
        <v>89</v>
      </c>
      <c r="Q12" s="136" t="s">
        <v>33</v>
      </c>
      <c r="R12" s="136" t="s">
        <v>33</v>
      </c>
      <c r="S12" s="137" t="s">
        <v>35</v>
      </c>
      <c r="T12" s="136" t="s">
        <v>40</v>
      </c>
      <c r="U12" s="136" t="s">
        <v>40</v>
      </c>
      <c r="V12" s="136" t="s">
        <v>33</v>
      </c>
      <c r="W12" s="136" t="s">
        <v>41</v>
      </c>
      <c r="X12" s="136" t="s">
        <v>40</v>
      </c>
      <c r="Y12" s="136" t="s">
        <v>33</v>
      </c>
      <c r="Z12" s="136" t="s">
        <v>33</v>
      </c>
      <c r="AA12" s="136" t="s">
        <v>33</v>
      </c>
      <c r="AB12" s="136" t="s">
        <v>33</v>
      </c>
      <c r="AC12" s="136"/>
      <c r="AD12">
        <v>5</v>
      </c>
      <c r="AE12" s="136" t="s">
        <v>42</v>
      </c>
    </row>
    <row r="13" spans="1:31" x14ac:dyDescent="0.3">
      <c r="A13" s="136" t="s">
        <v>90</v>
      </c>
      <c r="B13" s="136" t="s">
        <v>91</v>
      </c>
      <c r="C13" s="136" t="s">
        <v>40</v>
      </c>
      <c r="D13" s="136" t="s">
        <v>92</v>
      </c>
      <c r="E13" s="137" t="s">
        <v>35</v>
      </c>
      <c r="F13" s="137" t="s">
        <v>35</v>
      </c>
      <c r="G13" s="137" t="s">
        <v>35</v>
      </c>
      <c r="H13" s="137" t="s">
        <v>35</v>
      </c>
      <c r="I13" s="137" t="s">
        <v>35</v>
      </c>
      <c r="J13" s="137" t="s">
        <v>35</v>
      </c>
      <c r="K13" s="137" t="s">
        <v>35</v>
      </c>
      <c r="L13" s="137" t="s">
        <v>35</v>
      </c>
      <c r="M13" s="136" t="s">
        <v>46</v>
      </c>
      <c r="N13" s="136" t="s">
        <v>33</v>
      </c>
      <c r="O13" s="136" t="s">
        <v>93</v>
      </c>
      <c r="P13" s="137" t="s">
        <v>70</v>
      </c>
      <c r="Q13" s="136" t="s">
        <v>40</v>
      </c>
      <c r="R13" s="136" t="s">
        <v>33</v>
      </c>
      <c r="S13" s="137" t="s">
        <v>35</v>
      </c>
      <c r="T13" s="136" t="s">
        <v>40</v>
      </c>
      <c r="U13" s="136" t="s">
        <v>40</v>
      </c>
      <c r="V13" s="136" t="s">
        <v>33</v>
      </c>
      <c r="W13" s="136" t="s">
        <v>41</v>
      </c>
      <c r="X13" s="136" t="s">
        <v>40</v>
      </c>
      <c r="Y13" s="136" t="s">
        <v>33</v>
      </c>
      <c r="Z13" s="136" t="s">
        <v>33</v>
      </c>
      <c r="AA13" s="136" t="s">
        <v>33</v>
      </c>
      <c r="AB13" s="136" t="s">
        <v>33</v>
      </c>
      <c r="AC13" s="136"/>
      <c r="AD13">
        <v>5</v>
      </c>
      <c r="AE13" s="136" t="s">
        <v>42</v>
      </c>
    </row>
    <row r="14" spans="1:31" x14ac:dyDescent="0.3">
      <c r="A14" s="136" t="s">
        <v>94</v>
      </c>
      <c r="B14" s="136" t="s">
        <v>95</v>
      </c>
      <c r="C14" s="136" t="s">
        <v>40</v>
      </c>
      <c r="D14" s="136" t="s">
        <v>96</v>
      </c>
      <c r="E14" s="137" t="s">
        <v>35</v>
      </c>
      <c r="F14" s="137" t="s">
        <v>35</v>
      </c>
      <c r="G14" s="137" t="s">
        <v>35</v>
      </c>
      <c r="H14" s="137" t="s">
        <v>35</v>
      </c>
      <c r="I14" s="137" t="s">
        <v>35</v>
      </c>
      <c r="J14" s="137" t="s">
        <v>35</v>
      </c>
      <c r="K14" s="137" t="s">
        <v>35</v>
      </c>
      <c r="L14" s="137" t="s">
        <v>35</v>
      </c>
      <c r="M14" s="136" t="s">
        <v>46</v>
      </c>
      <c r="N14" s="136" t="s">
        <v>33</v>
      </c>
      <c r="O14" s="136" t="s">
        <v>97</v>
      </c>
      <c r="P14" s="137" t="s">
        <v>70</v>
      </c>
      <c r="Q14" s="136" t="s">
        <v>40</v>
      </c>
      <c r="R14" s="136" t="s">
        <v>33</v>
      </c>
      <c r="S14" s="137" t="s">
        <v>35</v>
      </c>
      <c r="T14" s="136" t="s">
        <v>40</v>
      </c>
      <c r="U14" s="136" t="s">
        <v>40</v>
      </c>
      <c r="V14" s="136" t="s">
        <v>40</v>
      </c>
      <c r="W14" s="136" t="s">
        <v>40</v>
      </c>
      <c r="X14" s="136" t="s">
        <v>40</v>
      </c>
      <c r="Y14" s="136" t="s">
        <v>33</v>
      </c>
      <c r="Z14" s="136" t="s">
        <v>33</v>
      </c>
      <c r="AA14" s="136" t="s">
        <v>33</v>
      </c>
      <c r="AB14" s="136" t="s">
        <v>33</v>
      </c>
      <c r="AC14" s="136"/>
      <c r="AD14">
        <v>5</v>
      </c>
      <c r="AE14" s="136" t="s">
        <v>42</v>
      </c>
    </row>
    <row r="15" spans="1:31" x14ac:dyDescent="0.3">
      <c r="A15" s="139" t="s">
        <v>98</v>
      </c>
      <c r="B15" s="136" t="s">
        <v>99</v>
      </c>
      <c r="C15" s="136" t="s">
        <v>40</v>
      </c>
      <c r="D15" s="136" t="s">
        <v>100</v>
      </c>
      <c r="E15" s="137" t="s">
        <v>35</v>
      </c>
      <c r="F15" s="137" t="s">
        <v>35</v>
      </c>
      <c r="G15" s="137" t="s">
        <v>35</v>
      </c>
      <c r="H15" s="137" t="s">
        <v>35</v>
      </c>
      <c r="I15" s="137" t="s">
        <v>35</v>
      </c>
      <c r="J15" s="137" t="s">
        <v>35</v>
      </c>
      <c r="K15" s="137" t="s">
        <v>35</v>
      </c>
      <c r="L15" s="137" t="s">
        <v>35</v>
      </c>
      <c r="M15" s="136" t="s">
        <v>36</v>
      </c>
      <c r="N15" s="136" t="s">
        <v>33</v>
      </c>
      <c r="O15" s="136" t="s">
        <v>82</v>
      </c>
      <c r="P15" s="137" t="s">
        <v>83</v>
      </c>
      <c r="Q15" s="136" t="s">
        <v>33</v>
      </c>
      <c r="R15" s="136" t="s">
        <v>33</v>
      </c>
      <c r="S15" s="137" t="s">
        <v>35</v>
      </c>
      <c r="T15" s="136" t="s">
        <v>40</v>
      </c>
      <c r="U15" s="136" t="s">
        <v>40</v>
      </c>
      <c r="V15" s="136" t="s">
        <v>33</v>
      </c>
      <c r="W15" s="136" t="s">
        <v>41</v>
      </c>
      <c r="X15" s="136" t="s">
        <v>40</v>
      </c>
      <c r="Y15" s="136" t="s">
        <v>33</v>
      </c>
      <c r="Z15" s="136" t="s">
        <v>33</v>
      </c>
      <c r="AA15" s="136" t="s">
        <v>33</v>
      </c>
      <c r="AB15" s="136" t="s">
        <v>33</v>
      </c>
      <c r="AC15" s="136" t="s">
        <v>49</v>
      </c>
      <c r="AD15">
        <v>4</v>
      </c>
      <c r="AE15" s="136" t="s">
        <v>50</v>
      </c>
    </row>
    <row r="16" spans="1:31" x14ac:dyDescent="0.3">
      <c r="A16" s="139" t="s">
        <v>101</v>
      </c>
      <c r="B16" s="136" t="s">
        <v>102</v>
      </c>
      <c r="C16" s="136" t="s">
        <v>40</v>
      </c>
      <c r="D16" s="136" t="s">
        <v>103</v>
      </c>
      <c r="E16" s="137" t="s">
        <v>35</v>
      </c>
      <c r="F16" s="137" t="s">
        <v>35</v>
      </c>
      <c r="G16" s="137" t="s">
        <v>35</v>
      </c>
      <c r="H16" s="137" t="s">
        <v>35</v>
      </c>
      <c r="I16" s="137" t="s">
        <v>35</v>
      </c>
      <c r="J16" s="137" t="s">
        <v>35</v>
      </c>
      <c r="K16" s="137" t="s">
        <v>35</v>
      </c>
      <c r="L16" s="137" t="s">
        <v>35</v>
      </c>
      <c r="M16" s="136" t="s">
        <v>36</v>
      </c>
      <c r="N16" s="136" t="s">
        <v>33</v>
      </c>
      <c r="O16" s="136" t="s">
        <v>104</v>
      </c>
      <c r="P16" s="137" t="s">
        <v>70</v>
      </c>
      <c r="Q16" s="136" t="s">
        <v>40</v>
      </c>
      <c r="R16" s="136" t="s">
        <v>33</v>
      </c>
      <c r="S16" s="137" t="s">
        <v>35</v>
      </c>
      <c r="T16" s="136" t="s">
        <v>40</v>
      </c>
      <c r="U16" s="136" t="s">
        <v>40</v>
      </c>
      <c r="V16" s="136" t="s">
        <v>33</v>
      </c>
      <c r="W16" s="136" t="s">
        <v>41</v>
      </c>
      <c r="X16" s="136" t="s">
        <v>40</v>
      </c>
      <c r="Y16" s="136" t="s">
        <v>33</v>
      </c>
      <c r="Z16" s="136" t="s">
        <v>33</v>
      </c>
      <c r="AA16" s="136" t="s">
        <v>33</v>
      </c>
      <c r="AB16" s="136" t="s">
        <v>33</v>
      </c>
      <c r="AC16" s="136"/>
      <c r="AD16">
        <v>5</v>
      </c>
      <c r="AE16" s="136" t="s">
        <v>42</v>
      </c>
    </row>
    <row r="17" spans="1:31" x14ac:dyDescent="0.3">
      <c r="A17" s="139" t="s">
        <v>55</v>
      </c>
      <c r="B17" s="136" t="s">
        <v>91</v>
      </c>
      <c r="C17" s="136" t="s">
        <v>40</v>
      </c>
      <c r="D17" s="136" t="s">
        <v>105</v>
      </c>
      <c r="E17" s="137" t="s">
        <v>35</v>
      </c>
      <c r="F17" s="137" t="s">
        <v>35</v>
      </c>
      <c r="G17" s="137" t="s">
        <v>35</v>
      </c>
      <c r="H17" s="137" t="s">
        <v>35</v>
      </c>
      <c r="I17" s="137" t="s">
        <v>35</v>
      </c>
      <c r="J17" s="137" t="s">
        <v>35</v>
      </c>
      <c r="K17" s="137" t="s">
        <v>35</v>
      </c>
      <c r="L17" s="137" t="s">
        <v>35</v>
      </c>
      <c r="M17" s="136" t="s">
        <v>46</v>
      </c>
      <c r="N17" s="136" t="s">
        <v>33</v>
      </c>
      <c r="O17" s="136" t="s">
        <v>106</v>
      </c>
      <c r="P17" s="137" t="s">
        <v>70</v>
      </c>
      <c r="Q17" s="136" t="s">
        <v>40</v>
      </c>
      <c r="R17" s="136" t="s">
        <v>33</v>
      </c>
      <c r="S17" s="137" t="s">
        <v>35</v>
      </c>
      <c r="T17" s="136" t="s">
        <v>40</v>
      </c>
      <c r="U17" s="136" t="s">
        <v>40</v>
      </c>
      <c r="V17" s="136" t="s">
        <v>33</v>
      </c>
      <c r="W17" s="136" t="s">
        <v>41</v>
      </c>
      <c r="X17" s="136" t="s">
        <v>40</v>
      </c>
      <c r="Y17" s="136" t="s">
        <v>33</v>
      </c>
      <c r="Z17" s="136" t="s">
        <v>33</v>
      </c>
      <c r="AA17" s="136" t="s">
        <v>33</v>
      </c>
      <c r="AB17" s="136" t="s">
        <v>33</v>
      </c>
      <c r="AC17" s="136"/>
      <c r="AD17">
        <v>5</v>
      </c>
      <c r="AE17" s="136" t="s">
        <v>42</v>
      </c>
    </row>
    <row r="18" spans="1:31" x14ac:dyDescent="0.3">
      <c r="A18" s="139" t="s">
        <v>55</v>
      </c>
      <c r="B18" s="136" t="s">
        <v>56</v>
      </c>
      <c r="C18" s="136" t="s">
        <v>40</v>
      </c>
      <c r="D18" s="136" t="s">
        <v>107</v>
      </c>
      <c r="E18" s="137" t="s">
        <v>35</v>
      </c>
      <c r="F18" s="137" t="s">
        <v>35</v>
      </c>
      <c r="G18" s="137" t="s">
        <v>35</v>
      </c>
      <c r="H18" s="137" t="s">
        <v>35</v>
      </c>
      <c r="I18" s="137" t="s">
        <v>35</v>
      </c>
      <c r="J18" s="137" t="s">
        <v>35</v>
      </c>
      <c r="K18" s="137" t="s">
        <v>35</v>
      </c>
      <c r="L18" s="137" t="s">
        <v>35</v>
      </c>
      <c r="M18" s="136" t="s">
        <v>46</v>
      </c>
      <c r="N18" s="136" t="s">
        <v>33</v>
      </c>
      <c r="O18" s="136" t="s">
        <v>97</v>
      </c>
      <c r="P18" s="137" t="s">
        <v>38</v>
      </c>
      <c r="Q18" s="136" t="s">
        <v>40</v>
      </c>
      <c r="R18" s="136" t="s">
        <v>33</v>
      </c>
      <c r="S18" s="137" t="s">
        <v>35</v>
      </c>
      <c r="T18" s="136" t="s">
        <v>40</v>
      </c>
      <c r="U18" s="136" t="s">
        <v>40</v>
      </c>
      <c r="V18" s="136" t="s">
        <v>33</v>
      </c>
      <c r="W18" s="136" t="s">
        <v>41</v>
      </c>
      <c r="X18" s="136" t="s">
        <v>40</v>
      </c>
      <c r="Y18" s="136" t="s">
        <v>33</v>
      </c>
      <c r="Z18" s="136" t="s">
        <v>33</v>
      </c>
      <c r="AA18" s="136" t="s">
        <v>33</v>
      </c>
      <c r="AB18" s="136" t="s">
        <v>33</v>
      </c>
      <c r="AC18" s="136"/>
      <c r="AD18">
        <v>5</v>
      </c>
      <c r="AE18" s="136" t="s">
        <v>42</v>
      </c>
    </row>
    <row r="19" spans="1:31" x14ac:dyDescent="0.3">
      <c r="A19" t="s">
        <v>108</v>
      </c>
      <c r="B19" t="s">
        <v>109</v>
      </c>
      <c r="C19" t="s">
        <v>33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s="1" t="s">
        <v>35</v>
      </c>
      <c r="J19" s="1" t="s">
        <v>35</v>
      </c>
      <c r="K19" s="1" t="s">
        <v>35</v>
      </c>
      <c r="L19" s="1" t="s">
        <v>35</v>
      </c>
      <c r="M19" t="s">
        <v>46</v>
      </c>
      <c r="N19" t="s">
        <v>33</v>
      </c>
      <c r="O19" t="s">
        <v>88</v>
      </c>
      <c r="P19" t="s">
        <v>38</v>
      </c>
      <c r="Q19" t="s">
        <v>33</v>
      </c>
      <c r="R19" t="s">
        <v>33</v>
      </c>
      <c r="S19" s="1" t="s">
        <v>115</v>
      </c>
      <c r="T19" t="s">
        <v>40</v>
      </c>
      <c r="U19" t="s">
        <v>40</v>
      </c>
      <c r="V19" t="s">
        <v>33</v>
      </c>
      <c r="W19" t="s">
        <v>41</v>
      </c>
      <c r="X19" t="s">
        <v>40</v>
      </c>
      <c r="Y19" t="s">
        <v>33</v>
      </c>
      <c r="Z19" t="s">
        <v>33</v>
      </c>
      <c r="AA19" t="s">
        <v>33</v>
      </c>
      <c r="AB19" t="s">
        <v>33</v>
      </c>
      <c r="AD19">
        <v>5</v>
      </c>
      <c r="AE19" t="s">
        <v>42</v>
      </c>
    </row>
    <row r="20" spans="1:31" x14ac:dyDescent="0.3">
      <c r="A20" t="s">
        <v>116</v>
      </c>
      <c r="B20" t="s">
        <v>117</v>
      </c>
      <c r="C20" t="s">
        <v>33</v>
      </c>
      <c r="D20" t="s">
        <v>118</v>
      </c>
      <c r="E20" t="s">
        <v>119</v>
      </c>
      <c r="F20" t="s">
        <v>58</v>
      </c>
      <c r="G20" t="s">
        <v>120</v>
      </c>
      <c r="H20" t="s">
        <v>121</v>
      </c>
      <c r="I20" s="1" t="s">
        <v>35</v>
      </c>
      <c r="J20" s="1" t="s">
        <v>35</v>
      </c>
      <c r="K20" s="1" t="s">
        <v>35</v>
      </c>
      <c r="L20" s="1" t="s">
        <v>35</v>
      </c>
      <c r="M20" t="s">
        <v>36</v>
      </c>
      <c r="N20" t="s">
        <v>33</v>
      </c>
      <c r="O20" t="s">
        <v>37</v>
      </c>
      <c r="P20" t="s">
        <v>38</v>
      </c>
      <c r="Q20" t="s">
        <v>33</v>
      </c>
      <c r="R20" t="s">
        <v>33</v>
      </c>
      <c r="S20" s="1" t="s">
        <v>122</v>
      </c>
      <c r="T20" t="s">
        <v>40</v>
      </c>
      <c r="U20" t="s">
        <v>40</v>
      </c>
      <c r="V20" t="s">
        <v>33</v>
      </c>
      <c r="W20" t="s">
        <v>41</v>
      </c>
      <c r="X20" t="s">
        <v>40</v>
      </c>
      <c r="Y20" t="s">
        <v>33</v>
      </c>
      <c r="Z20" t="s">
        <v>33</v>
      </c>
      <c r="AA20" t="s">
        <v>33</v>
      </c>
      <c r="AB20" t="s">
        <v>33</v>
      </c>
      <c r="AC20" t="s">
        <v>49</v>
      </c>
      <c r="AD20">
        <v>4</v>
      </c>
      <c r="AE20" t="s">
        <v>50</v>
      </c>
    </row>
    <row r="21" spans="1:31" x14ac:dyDescent="0.3">
      <c r="A21" t="s">
        <v>123</v>
      </c>
      <c r="B21" t="s">
        <v>124</v>
      </c>
      <c r="C21" t="s">
        <v>40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  <c r="I21" s="1" t="s">
        <v>35</v>
      </c>
      <c r="J21" s="1" t="s">
        <v>35</v>
      </c>
      <c r="K21" s="1" t="s">
        <v>35</v>
      </c>
      <c r="L21" s="1" t="s">
        <v>35</v>
      </c>
      <c r="M21" t="s">
        <v>46</v>
      </c>
      <c r="N21" t="s">
        <v>33</v>
      </c>
      <c r="O21" t="s">
        <v>88</v>
      </c>
      <c r="P21" s="1" t="s">
        <v>83</v>
      </c>
      <c r="Q21" t="s">
        <v>33</v>
      </c>
      <c r="R21" t="s">
        <v>33</v>
      </c>
      <c r="S21" s="1" t="s">
        <v>130</v>
      </c>
      <c r="T21" t="s">
        <v>40</v>
      </c>
      <c r="U21" t="s">
        <v>40</v>
      </c>
      <c r="V21" t="s">
        <v>33</v>
      </c>
      <c r="W21" t="s">
        <v>41</v>
      </c>
      <c r="X21" t="s">
        <v>40</v>
      </c>
      <c r="Y21" t="s">
        <v>33</v>
      </c>
      <c r="Z21" t="s">
        <v>33</v>
      </c>
      <c r="AA21" t="s">
        <v>33</v>
      </c>
      <c r="AB21" t="s">
        <v>33</v>
      </c>
      <c r="AC21" t="s">
        <v>49</v>
      </c>
      <c r="AD21">
        <v>4</v>
      </c>
      <c r="AE21" t="s">
        <v>50</v>
      </c>
    </row>
    <row r="22" spans="1:31" x14ac:dyDescent="0.3">
      <c r="A22" t="s">
        <v>131</v>
      </c>
      <c r="B22" t="s">
        <v>132</v>
      </c>
      <c r="C22" t="s">
        <v>33</v>
      </c>
      <c r="D22" t="s">
        <v>133</v>
      </c>
      <c r="E22" t="s">
        <v>134</v>
      </c>
      <c r="F22" t="s">
        <v>135</v>
      </c>
      <c r="G22" t="s">
        <v>136</v>
      </c>
      <c r="H22" s="1" t="s">
        <v>137</v>
      </c>
      <c r="I22" s="1" t="s">
        <v>35</v>
      </c>
      <c r="J22" s="1" t="s">
        <v>35</v>
      </c>
      <c r="K22" s="1" t="s">
        <v>35</v>
      </c>
      <c r="L22" s="1" t="s">
        <v>35</v>
      </c>
      <c r="M22" t="s">
        <v>46</v>
      </c>
      <c r="N22" t="s">
        <v>33</v>
      </c>
      <c r="O22" t="s">
        <v>88</v>
      </c>
      <c r="P22" t="s">
        <v>38</v>
      </c>
      <c r="Q22" t="s">
        <v>33</v>
      </c>
      <c r="R22" t="s">
        <v>33</v>
      </c>
      <c r="S22" s="1" t="s">
        <v>138</v>
      </c>
      <c r="T22" t="s">
        <v>40</v>
      </c>
      <c r="U22" t="s">
        <v>40</v>
      </c>
      <c r="V22" t="s">
        <v>33</v>
      </c>
      <c r="W22" t="s">
        <v>41</v>
      </c>
      <c r="X22" t="s">
        <v>40</v>
      </c>
      <c r="Y22" t="s">
        <v>33</v>
      </c>
      <c r="Z22" t="s">
        <v>33</v>
      </c>
      <c r="AA22" t="s">
        <v>33</v>
      </c>
      <c r="AB22" t="s">
        <v>33</v>
      </c>
      <c r="AD22">
        <v>5</v>
      </c>
      <c r="AE22" t="s">
        <v>42</v>
      </c>
    </row>
    <row r="23" spans="1:31" x14ac:dyDescent="0.3">
      <c r="A23" t="s">
        <v>139</v>
      </c>
      <c r="B23" t="s">
        <v>140</v>
      </c>
      <c r="C23" t="s">
        <v>40</v>
      </c>
      <c r="D23" t="s">
        <v>141</v>
      </c>
      <c r="E23" t="s">
        <v>142</v>
      </c>
      <c r="F23" t="s">
        <v>143</v>
      </c>
      <c r="G23" t="s">
        <v>128</v>
      </c>
      <c r="H23" s="1" t="s">
        <v>144</v>
      </c>
      <c r="I23" s="1" t="s">
        <v>35</v>
      </c>
      <c r="J23" s="1" t="s">
        <v>35</v>
      </c>
      <c r="K23" s="1" t="s">
        <v>35</v>
      </c>
      <c r="L23" s="1" t="s">
        <v>35</v>
      </c>
      <c r="M23" t="s">
        <v>46</v>
      </c>
      <c r="N23" t="s">
        <v>33</v>
      </c>
      <c r="O23" t="s">
        <v>88</v>
      </c>
      <c r="P23" t="s">
        <v>38</v>
      </c>
      <c r="Q23" t="s">
        <v>33</v>
      </c>
      <c r="R23" t="s">
        <v>33</v>
      </c>
      <c r="S23" s="1" t="s">
        <v>145</v>
      </c>
      <c r="T23" t="s">
        <v>40</v>
      </c>
      <c r="U23" t="s">
        <v>40</v>
      </c>
      <c r="V23" t="s">
        <v>33</v>
      </c>
      <c r="W23" t="s">
        <v>41</v>
      </c>
      <c r="X23" t="s">
        <v>40</v>
      </c>
      <c r="Y23" t="s">
        <v>33</v>
      </c>
      <c r="Z23" t="s">
        <v>33</v>
      </c>
      <c r="AA23" t="s">
        <v>33</v>
      </c>
      <c r="AB23" t="s">
        <v>33</v>
      </c>
      <c r="AC23" t="s">
        <v>49</v>
      </c>
      <c r="AD23">
        <v>4</v>
      </c>
      <c r="AE23" t="s">
        <v>50</v>
      </c>
    </row>
    <row r="24" spans="1:31" x14ac:dyDescent="0.3">
      <c r="A24" t="s">
        <v>146</v>
      </c>
      <c r="B24" t="s">
        <v>147</v>
      </c>
      <c r="C24" t="s">
        <v>40</v>
      </c>
      <c r="D24" t="s">
        <v>148</v>
      </c>
      <c r="E24" t="s">
        <v>149</v>
      </c>
      <c r="F24" t="s">
        <v>143</v>
      </c>
      <c r="G24" t="s">
        <v>150</v>
      </c>
      <c r="H24" t="s">
        <v>151</v>
      </c>
      <c r="I24" s="1" t="s">
        <v>35</v>
      </c>
      <c r="J24" s="1" t="s">
        <v>35</v>
      </c>
      <c r="K24" s="1" t="s">
        <v>35</v>
      </c>
      <c r="L24" s="1" t="s">
        <v>35</v>
      </c>
      <c r="M24" t="s">
        <v>36</v>
      </c>
      <c r="N24" t="s">
        <v>33</v>
      </c>
      <c r="O24" t="s">
        <v>152</v>
      </c>
      <c r="P24" t="s">
        <v>38</v>
      </c>
      <c r="Q24" t="s">
        <v>33</v>
      </c>
      <c r="R24" t="s">
        <v>33</v>
      </c>
      <c r="S24" s="1" t="s">
        <v>35</v>
      </c>
      <c r="T24" t="s">
        <v>40</v>
      </c>
      <c r="U24" t="s">
        <v>40</v>
      </c>
      <c r="V24" t="s">
        <v>33</v>
      </c>
      <c r="W24" t="s">
        <v>41</v>
      </c>
      <c r="X24" t="s">
        <v>40</v>
      </c>
      <c r="Y24" t="s">
        <v>33</v>
      </c>
      <c r="Z24" t="s">
        <v>33</v>
      </c>
      <c r="AA24" t="s">
        <v>33</v>
      </c>
      <c r="AB24" t="s">
        <v>33</v>
      </c>
      <c r="AC24" t="s">
        <v>49</v>
      </c>
      <c r="AD24">
        <v>4</v>
      </c>
      <c r="AE24" t="s">
        <v>50</v>
      </c>
    </row>
    <row r="25" spans="1:31" x14ac:dyDescent="0.3">
      <c r="A25" t="s">
        <v>153</v>
      </c>
      <c r="B25" t="s">
        <v>154</v>
      </c>
      <c r="C25" t="s">
        <v>40</v>
      </c>
      <c r="D25" t="s">
        <v>155</v>
      </c>
      <c r="E25" t="s">
        <v>156</v>
      </c>
      <c r="F25" t="s">
        <v>143</v>
      </c>
      <c r="G25" t="s">
        <v>157</v>
      </c>
      <c r="H25" t="s">
        <v>158</v>
      </c>
      <c r="I25" s="1" t="s">
        <v>35</v>
      </c>
      <c r="J25" s="1" t="s">
        <v>35</v>
      </c>
      <c r="K25" s="1" t="s">
        <v>35</v>
      </c>
      <c r="L25" s="1" t="s">
        <v>35</v>
      </c>
      <c r="M25" t="s">
        <v>36</v>
      </c>
      <c r="N25" t="s">
        <v>33</v>
      </c>
      <c r="O25" t="s">
        <v>152</v>
      </c>
      <c r="P25" t="s">
        <v>38</v>
      </c>
      <c r="Q25" t="s">
        <v>33</v>
      </c>
      <c r="R25" t="s">
        <v>33</v>
      </c>
      <c r="S25" s="1" t="s">
        <v>159</v>
      </c>
      <c r="T25" t="s">
        <v>40</v>
      </c>
      <c r="U25" t="s">
        <v>40</v>
      </c>
      <c r="V25" t="s">
        <v>33</v>
      </c>
      <c r="W25" t="s">
        <v>41</v>
      </c>
      <c r="X25" t="s">
        <v>40</v>
      </c>
      <c r="Y25" t="s">
        <v>33</v>
      </c>
      <c r="Z25" t="s">
        <v>33</v>
      </c>
      <c r="AA25" t="s">
        <v>33</v>
      </c>
      <c r="AB25" t="s">
        <v>33</v>
      </c>
      <c r="AC25" t="s">
        <v>49</v>
      </c>
      <c r="AD25">
        <v>4</v>
      </c>
      <c r="AE25" t="s">
        <v>50</v>
      </c>
    </row>
    <row r="26" spans="1:31" x14ac:dyDescent="0.3">
      <c r="A26" t="s">
        <v>160</v>
      </c>
      <c r="B26" t="s">
        <v>161</v>
      </c>
      <c r="C26" t="s">
        <v>40</v>
      </c>
      <c r="D26" t="s">
        <v>162</v>
      </c>
      <c r="E26" t="s">
        <v>163</v>
      </c>
      <c r="F26" t="s">
        <v>164</v>
      </c>
      <c r="G26" t="s">
        <v>165</v>
      </c>
      <c r="H26" t="s">
        <v>166</v>
      </c>
      <c r="I26" s="1" t="s">
        <v>35</v>
      </c>
      <c r="J26" s="1" t="s">
        <v>35</v>
      </c>
      <c r="K26" s="1" t="s">
        <v>35</v>
      </c>
      <c r="L26" s="1" t="s">
        <v>35</v>
      </c>
      <c r="M26" t="s">
        <v>36</v>
      </c>
      <c r="N26" t="s">
        <v>33</v>
      </c>
      <c r="O26" t="s">
        <v>37</v>
      </c>
      <c r="P26" t="s">
        <v>38</v>
      </c>
      <c r="Q26" t="s">
        <v>33</v>
      </c>
      <c r="R26" t="s">
        <v>33</v>
      </c>
      <c r="S26" s="1" t="s">
        <v>167</v>
      </c>
      <c r="T26" t="s">
        <v>40</v>
      </c>
      <c r="U26" t="s">
        <v>40</v>
      </c>
      <c r="V26" t="s">
        <v>33</v>
      </c>
      <c r="W26" t="s">
        <v>41</v>
      </c>
      <c r="X26" t="s">
        <v>40</v>
      </c>
      <c r="Y26" t="s">
        <v>33</v>
      </c>
      <c r="Z26" t="s">
        <v>33</v>
      </c>
      <c r="AA26" t="s">
        <v>33</v>
      </c>
      <c r="AB26" t="s">
        <v>33</v>
      </c>
      <c r="AD26">
        <v>5</v>
      </c>
      <c r="AE26" t="s">
        <v>42</v>
      </c>
    </row>
    <row r="27" spans="1:31" x14ac:dyDescent="0.3">
      <c r="A27" t="s">
        <v>168</v>
      </c>
      <c r="B27" t="s">
        <v>169</v>
      </c>
      <c r="C27" t="s">
        <v>40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  <c r="I27" s="1" t="s">
        <v>35</v>
      </c>
      <c r="J27" s="1" t="s">
        <v>35</v>
      </c>
      <c r="K27" s="1" t="s">
        <v>35</v>
      </c>
      <c r="L27" s="1" t="s">
        <v>35</v>
      </c>
      <c r="M27" t="s">
        <v>36</v>
      </c>
      <c r="N27" t="s">
        <v>33</v>
      </c>
      <c r="O27" t="s">
        <v>82</v>
      </c>
      <c r="P27" s="1" t="s">
        <v>83</v>
      </c>
      <c r="Q27" t="s">
        <v>33</v>
      </c>
      <c r="R27" t="s">
        <v>33</v>
      </c>
      <c r="S27" s="1" t="s">
        <v>175</v>
      </c>
      <c r="T27" t="s">
        <v>40</v>
      </c>
      <c r="U27" t="s">
        <v>40</v>
      </c>
      <c r="V27" t="s">
        <v>33</v>
      </c>
      <c r="W27" t="s">
        <v>41</v>
      </c>
      <c r="X27" t="s">
        <v>40</v>
      </c>
      <c r="Y27" t="s">
        <v>33</v>
      </c>
      <c r="Z27" t="s">
        <v>33</v>
      </c>
      <c r="AA27" t="s">
        <v>33</v>
      </c>
      <c r="AB27" t="s">
        <v>33</v>
      </c>
      <c r="AC27" t="s">
        <v>49</v>
      </c>
      <c r="AD27">
        <v>4</v>
      </c>
      <c r="AE27" t="s">
        <v>50</v>
      </c>
    </row>
    <row r="28" spans="1:31" x14ac:dyDescent="0.3">
      <c r="A28" t="s">
        <v>176</v>
      </c>
      <c r="B28" t="s">
        <v>177</v>
      </c>
      <c r="C28" t="s">
        <v>40</v>
      </c>
      <c r="D28" t="s">
        <v>178</v>
      </c>
      <c r="E28" t="s">
        <v>179</v>
      </c>
      <c r="F28" t="s">
        <v>180</v>
      </c>
      <c r="G28" t="s">
        <v>181</v>
      </c>
      <c r="H28" s="1" t="s">
        <v>182</v>
      </c>
      <c r="I28" s="1" t="s">
        <v>35</v>
      </c>
      <c r="J28" s="1" t="s">
        <v>35</v>
      </c>
      <c r="K28" s="1" t="s">
        <v>35</v>
      </c>
      <c r="L28" s="1" t="s">
        <v>35</v>
      </c>
      <c r="M28" t="s">
        <v>183</v>
      </c>
      <c r="N28" t="s">
        <v>33</v>
      </c>
      <c r="O28" t="s">
        <v>184</v>
      </c>
      <c r="P28" s="1" t="s">
        <v>185</v>
      </c>
      <c r="Q28" t="s">
        <v>33</v>
      </c>
      <c r="R28" t="s">
        <v>33</v>
      </c>
      <c r="S28" s="1" t="s">
        <v>186</v>
      </c>
      <c r="T28" t="s">
        <v>40</v>
      </c>
      <c r="U28" t="s">
        <v>40</v>
      </c>
      <c r="V28" t="s">
        <v>33</v>
      </c>
      <c r="W28" t="s">
        <v>41</v>
      </c>
      <c r="X28" t="s">
        <v>40</v>
      </c>
      <c r="Y28" t="s">
        <v>33</v>
      </c>
      <c r="Z28" t="s">
        <v>33</v>
      </c>
      <c r="AA28" t="s">
        <v>33</v>
      </c>
      <c r="AB28" t="s">
        <v>33</v>
      </c>
      <c r="AD28">
        <v>5</v>
      </c>
      <c r="AE28" t="s">
        <v>42</v>
      </c>
    </row>
    <row r="29" spans="1:31" x14ac:dyDescent="0.3">
      <c r="A29" t="s">
        <v>187</v>
      </c>
      <c r="B29" t="s">
        <v>188</v>
      </c>
      <c r="C29" t="s">
        <v>40</v>
      </c>
      <c r="D29" t="s">
        <v>57</v>
      </c>
      <c r="E29" t="s">
        <v>189</v>
      </c>
      <c r="F29" t="s">
        <v>172</v>
      </c>
      <c r="G29" t="s">
        <v>173</v>
      </c>
      <c r="H29" t="s">
        <v>190</v>
      </c>
      <c r="I29" s="1" t="s">
        <v>35</v>
      </c>
      <c r="J29" s="1" t="s">
        <v>35</v>
      </c>
      <c r="K29" s="1" t="s">
        <v>35</v>
      </c>
      <c r="L29" s="1" t="s">
        <v>35</v>
      </c>
      <c r="M29" t="s">
        <v>36</v>
      </c>
      <c r="N29" t="s">
        <v>33</v>
      </c>
      <c r="O29" t="s">
        <v>64</v>
      </c>
      <c r="P29" t="s">
        <v>38</v>
      </c>
      <c r="Q29" t="s">
        <v>33</v>
      </c>
      <c r="R29" t="s">
        <v>33</v>
      </c>
      <c r="S29" s="1" t="s">
        <v>191</v>
      </c>
      <c r="T29" t="s">
        <v>40</v>
      </c>
      <c r="U29" t="s">
        <v>40</v>
      </c>
      <c r="V29" t="s">
        <v>33</v>
      </c>
      <c r="W29" t="s">
        <v>41</v>
      </c>
      <c r="X29" t="s">
        <v>40</v>
      </c>
      <c r="Y29" t="s">
        <v>33</v>
      </c>
      <c r="Z29" t="s">
        <v>33</v>
      </c>
      <c r="AA29" t="s">
        <v>33</v>
      </c>
      <c r="AB29" t="s">
        <v>33</v>
      </c>
      <c r="AD29">
        <v>5</v>
      </c>
      <c r="AE29" t="s">
        <v>42</v>
      </c>
    </row>
    <row r="30" spans="1:31" x14ac:dyDescent="0.3">
      <c r="A30" t="s">
        <v>192</v>
      </c>
      <c r="B30" t="s">
        <v>193</v>
      </c>
      <c r="C30" t="s">
        <v>40</v>
      </c>
      <c r="D30" t="s">
        <v>194</v>
      </c>
      <c r="E30" t="s">
        <v>195</v>
      </c>
      <c r="F30" t="s">
        <v>180</v>
      </c>
      <c r="G30" t="s">
        <v>196</v>
      </c>
      <c r="H30" s="1" t="s">
        <v>182</v>
      </c>
      <c r="I30" s="1" t="s">
        <v>35</v>
      </c>
      <c r="J30" s="1" t="s">
        <v>35</v>
      </c>
      <c r="K30" s="1" t="s">
        <v>35</v>
      </c>
      <c r="L30" s="1" t="s">
        <v>35</v>
      </c>
      <c r="M30" t="s">
        <v>36</v>
      </c>
      <c r="N30" t="s">
        <v>33</v>
      </c>
      <c r="O30" t="s">
        <v>64</v>
      </c>
      <c r="P30" s="1" t="s">
        <v>70</v>
      </c>
      <c r="Q30" t="s">
        <v>40</v>
      </c>
      <c r="R30" t="s">
        <v>33</v>
      </c>
      <c r="S30" s="1" t="s">
        <v>197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33</v>
      </c>
      <c r="Z30" t="s">
        <v>33</v>
      </c>
      <c r="AA30" t="s">
        <v>33</v>
      </c>
      <c r="AB30" t="s">
        <v>33</v>
      </c>
      <c r="AD30">
        <v>5</v>
      </c>
      <c r="AE30" t="s">
        <v>42</v>
      </c>
    </row>
    <row r="31" spans="1:31" x14ac:dyDescent="0.3">
      <c r="A31" t="s">
        <v>198</v>
      </c>
      <c r="B31" t="s">
        <v>199</v>
      </c>
      <c r="C31" t="s">
        <v>40</v>
      </c>
      <c r="D31" t="s">
        <v>200</v>
      </c>
      <c r="E31" t="s">
        <v>201</v>
      </c>
      <c r="F31" t="s">
        <v>127</v>
      </c>
      <c r="G31" t="s">
        <v>157</v>
      </c>
      <c r="H31" t="s">
        <v>202</v>
      </c>
      <c r="I31" s="1" t="s">
        <v>35</v>
      </c>
      <c r="J31" s="1" t="s">
        <v>35</v>
      </c>
      <c r="K31" s="1" t="s">
        <v>35</v>
      </c>
      <c r="L31" s="1" t="s">
        <v>35</v>
      </c>
      <c r="M31" t="s">
        <v>36</v>
      </c>
      <c r="N31" t="s">
        <v>33</v>
      </c>
      <c r="O31" t="s">
        <v>64</v>
      </c>
      <c r="P31" t="s">
        <v>38</v>
      </c>
      <c r="Q31" t="s">
        <v>33</v>
      </c>
      <c r="R31" t="s">
        <v>33</v>
      </c>
      <c r="S31" s="1" t="s">
        <v>80</v>
      </c>
      <c r="T31" t="s">
        <v>40</v>
      </c>
      <c r="U31" t="s">
        <v>40</v>
      </c>
      <c r="V31" t="s">
        <v>33</v>
      </c>
      <c r="W31" t="s">
        <v>41</v>
      </c>
      <c r="X31" t="s">
        <v>40</v>
      </c>
      <c r="Y31" t="s">
        <v>33</v>
      </c>
      <c r="Z31" t="s">
        <v>33</v>
      </c>
      <c r="AA31" t="s">
        <v>33</v>
      </c>
      <c r="AB31" t="s">
        <v>33</v>
      </c>
      <c r="AC31" t="s">
        <v>49</v>
      </c>
      <c r="AD31">
        <v>4</v>
      </c>
      <c r="AE31" t="s">
        <v>50</v>
      </c>
    </row>
    <row r="32" spans="1:31" x14ac:dyDescent="0.3">
      <c r="A32" t="s">
        <v>203</v>
      </c>
      <c r="B32" t="s">
        <v>204</v>
      </c>
      <c r="C32" t="s">
        <v>40</v>
      </c>
      <c r="D32" t="s">
        <v>205</v>
      </c>
      <c r="E32" t="s">
        <v>206</v>
      </c>
      <c r="F32" t="s">
        <v>143</v>
      </c>
      <c r="G32" t="s">
        <v>207</v>
      </c>
      <c r="H32" t="s">
        <v>208</v>
      </c>
      <c r="I32" s="1" t="s">
        <v>35</v>
      </c>
      <c r="J32" s="1" t="s">
        <v>35</v>
      </c>
      <c r="K32" s="1" t="s">
        <v>35</v>
      </c>
      <c r="L32" s="1" t="s">
        <v>35</v>
      </c>
      <c r="M32" t="s">
        <v>36</v>
      </c>
      <c r="N32" t="s">
        <v>33</v>
      </c>
      <c r="O32" t="s">
        <v>64</v>
      </c>
      <c r="P32" s="1" t="s">
        <v>70</v>
      </c>
      <c r="Q32" t="s">
        <v>40</v>
      </c>
      <c r="R32" t="s">
        <v>33</v>
      </c>
      <c r="S32" s="1" t="s">
        <v>35</v>
      </c>
      <c r="T32" t="s">
        <v>40</v>
      </c>
      <c r="U32" t="s">
        <v>40</v>
      </c>
      <c r="V32" t="s">
        <v>33</v>
      </c>
      <c r="W32" t="s">
        <v>41</v>
      </c>
      <c r="X32" t="s">
        <v>40</v>
      </c>
      <c r="Y32" t="s">
        <v>33</v>
      </c>
      <c r="Z32" t="s">
        <v>33</v>
      </c>
      <c r="AA32" t="s">
        <v>33</v>
      </c>
      <c r="AB32" t="s">
        <v>33</v>
      </c>
      <c r="AC32" t="s">
        <v>49</v>
      </c>
      <c r="AD32">
        <v>4</v>
      </c>
      <c r="AE32" t="s">
        <v>50</v>
      </c>
    </row>
    <row r="33" spans="1:31" x14ac:dyDescent="0.3">
      <c r="A33" t="s">
        <v>209</v>
      </c>
      <c r="B33" t="s">
        <v>210</v>
      </c>
      <c r="C33" t="s">
        <v>40</v>
      </c>
      <c r="D33" t="s">
        <v>211</v>
      </c>
      <c r="E33" t="s">
        <v>212</v>
      </c>
      <c r="F33" t="s">
        <v>127</v>
      </c>
      <c r="G33" t="s">
        <v>157</v>
      </c>
      <c r="H33" t="s">
        <v>213</v>
      </c>
      <c r="I33" s="1" t="s">
        <v>35</v>
      </c>
      <c r="J33" s="1" t="s">
        <v>35</v>
      </c>
      <c r="K33" s="1" t="s">
        <v>35</v>
      </c>
      <c r="L33" s="1" t="s">
        <v>35</v>
      </c>
      <c r="M33" t="s">
        <v>36</v>
      </c>
      <c r="N33" t="s">
        <v>33</v>
      </c>
      <c r="O33" t="s">
        <v>152</v>
      </c>
      <c r="P33" t="s">
        <v>38</v>
      </c>
      <c r="Q33" t="s">
        <v>33</v>
      </c>
      <c r="R33" t="s">
        <v>33</v>
      </c>
      <c r="S33" s="1" t="s">
        <v>214</v>
      </c>
      <c r="T33" t="s">
        <v>33</v>
      </c>
      <c r="U33" t="s">
        <v>40</v>
      </c>
      <c r="V33" t="s">
        <v>33</v>
      </c>
      <c r="W33" t="s">
        <v>41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215</v>
      </c>
      <c r="AD33">
        <v>5</v>
      </c>
      <c r="AE33" t="s">
        <v>42</v>
      </c>
    </row>
    <row r="34" spans="1:31" x14ac:dyDescent="0.3">
      <c r="A34" t="s">
        <v>216</v>
      </c>
      <c r="B34" t="s">
        <v>217</v>
      </c>
      <c r="C34" t="s">
        <v>40</v>
      </c>
      <c r="D34" t="s">
        <v>218</v>
      </c>
      <c r="E34" t="s">
        <v>219</v>
      </c>
      <c r="F34" t="s">
        <v>127</v>
      </c>
      <c r="G34" t="s">
        <v>128</v>
      </c>
      <c r="H34" t="s">
        <v>220</v>
      </c>
      <c r="I34" s="1" t="s">
        <v>35</v>
      </c>
      <c r="J34" s="1" t="s">
        <v>35</v>
      </c>
      <c r="K34" s="1" t="s">
        <v>35</v>
      </c>
      <c r="L34" s="1" t="s">
        <v>35</v>
      </c>
      <c r="M34" t="s">
        <v>46</v>
      </c>
      <c r="N34" t="s">
        <v>33</v>
      </c>
      <c r="O34" t="s">
        <v>221</v>
      </c>
      <c r="P34" s="1" t="s">
        <v>83</v>
      </c>
      <c r="Q34" t="s">
        <v>33</v>
      </c>
      <c r="R34" t="s">
        <v>33</v>
      </c>
      <c r="S34" s="1" t="s">
        <v>222</v>
      </c>
      <c r="T34" t="s">
        <v>40</v>
      </c>
      <c r="U34" t="s">
        <v>40</v>
      </c>
      <c r="V34" t="s">
        <v>33</v>
      </c>
      <c r="W34" t="s">
        <v>41</v>
      </c>
      <c r="X34" t="s">
        <v>40</v>
      </c>
      <c r="Y34" t="s">
        <v>33</v>
      </c>
      <c r="Z34" t="s">
        <v>33</v>
      </c>
      <c r="AA34" t="s">
        <v>33</v>
      </c>
      <c r="AB34" t="s">
        <v>33</v>
      </c>
      <c r="AD34">
        <v>5</v>
      </c>
      <c r="AE34" t="s">
        <v>42</v>
      </c>
    </row>
    <row r="35" spans="1:31" x14ac:dyDescent="0.3">
      <c r="A35" t="s">
        <v>223</v>
      </c>
      <c r="B35" t="s">
        <v>224</v>
      </c>
      <c r="C35" t="s">
        <v>40</v>
      </c>
      <c r="D35" t="s">
        <v>225</v>
      </c>
      <c r="E35" t="s">
        <v>226</v>
      </c>
      <c r="F35" t="s">
        <v>127</v>
      </c>
      <c r="G35" t="s">
        <v>157</v>
      </c>
      <c r="H35" t="s">
        <v>227</v>
      </c>
      <c r="I35" s="1" t="s">
        <v>35</v>
      </c>
      <c r="J35" s="1" t="s">
        <v>35</v>
      </c>
      <c r="K35" s="1" t="s">
        <v>35</v>
      </c>
      <c r="L35" s="1" t="s">
        <v>35</v>
      </c>
      <c r="M35" t="s">
        <v>36</v>
      </c>
      <c r="N35" t="s">
        <v>33</v>
      </c>
      <c r="O35" t="s">
        <v>152</v>
      </c>
      <c r="P35" t="s">
        <v>38</v>
      </c>
      <c r="Q35" t="s">
        <v>33</v>
      </c>
      <c r="R35" t="s">
        <v>33</v>
      </c>
      <c r="S35" s="1" t="s">
        <v>228</v>
      </c>
      <c r="T35" t="s">
        <v>40</v>
      </c>
      <c r="U35" t="s">
        <v>40</v>
      </c>
      <c r="V35" t="s">
        <v>33</v>
      </c>
      <c r="W35" t="s">
        <v>41</v>
      </c>
      <c r="X35" t="s">
        <v>40</v>
      </c>
      <c r="Y35" t="s">
        <v>33</v>
      </c>
      <c r="Z35" t="s">
        <v>33</v>
      </c>
      <c r="AA35" t="s">
        <v>33</v>
      </c>
      <c r="AB35" t="s">
        <v>33</v>
      </c>
      <c r="AD35">
        <v>5</v>
      </c>
      <c r="AE35" t="s">
        <v>42</v>
      </c>
    </row>
    <row r="36" spans="1:31" x14ac:dyDescent="0.3">
      <c r="A36" t="s">
        <v>229</v>
      </c>
      <c r="B36" t="s">
        <v>230</v>
      </c>
      <c r="C36" t="s">
        <v>40</v>
      </c>
      <c r="D36" t="s">
        <v>231</v>
      </c>
      <c r="E36" t="s">
        <v>232</v>
      </c>
      <c r="F36" t="s">
        <v>143</v>
      </c>
      <c r="G36" t="s">
        <v>233</v>
      </c>
      <c r="H36" t="s">
        <v>234</v>
      </c>
      <c r="I36" s="1" t="s">
        <v>35</v>
      </c>
      <c r="J36" s="1" t="s">
        <v>35</v>
      </c>
      <c r="K36" s="1" t="s">
        <v>35</v>
      </c>
      <c r="L36" s="1" t="s">
        <v>35</v>
      </c>
      <c r="M36" t="s">
        <v>46</v>
      </c>
      <c r="N36" t="s">
        <v>33</v>
      </c>
      <c r="O36" t="s">
        <v>235</v>
      </c>
      <c r="P36" s="1" t="s">
        <v>83</v>
      </c>
      <c r="Q36" t="s">
        <v>33</v>
      </c>
      <c r="R36" t="s">
        <v>33</v>
      </c>
      <c r="S36" s="1" t="s">
        <v>35</v>
      </c>
      <c r="T36" t="s">
        <v>40</v>
      </c>
      <c r="U36" t="s">
        <v>40</v>
      </c>
      <c r="V36" t="s">
        <v>33</v>
      </c>
      <c r="W36" t="s">
        <v>41</v>
      </c>
      <c r="X36" t="s">
        <v>40</v>
      </c>
      <c r="Y36" t="s">
        <v>33</v>
      </c>
      <c r="Z36" t="s">
        <v>33</v>
      </c>
      <c r="AA36" t="s">
        <v>33</v>
      </c>
      <c r="AB36" t="s">
        <v>33</v>
      </c>
      <c r="AC36" t="s">
        <v>49</v>
      </c>
      <c r="AD36">
        <v>4</v>
      </c>
      <c r="AE36" t="s">
        <v>50</v>
      </c>
    </row>
    <row r="37" spans="1:31" x14ac:dyDescent="0.3">
      <c r="A37" t="s">
        <v>236</v>
      </c>
      <c r="B37" t="s">
        <v>237</v>
      </c>
      <c r="C37" t="s">
        <v>40</v>
      </c>
      <c r="D37" t="s">
        <v>238</v>
      </c>
      <c r="E37" t="s">
        <v>239</v>
      </c>
      <c r="F37" t="s">
        <v>127</v>
      </c>
      <c r="G37" t="s">
        <v>165</v>
      </c>
      <c r="H37" t="s">
        <v>240</v>
      </c>
      <c r="I37" s="1" t="s">
        <v>35</v>
      </c>
      <c r="J37" s="1" t="s">
        <v>35</v>
      </c>
      <c r="K37" s="1" t="s">
        <v>35</v>
      </c>
      <c r="L37" s="1" t="s">
        <v>35</v>
      </c>
      <c r="M37" t="s">
        <v>36</v>
      </c>
      <c r="N37" t="s">
        <v>33</v>
      </c>
      <c r="O37" t="s">
        <v>152</v>
      </c>
      <c r="P37" t="s">
        <v>38</v>
      </c>
      <c r="Q37" t="s">
        <v>33</v>
      </c>
      <c r="R37" t="s">
        <v>33</v>
      </c>
      <c r="S37" s="1" t="s">
        <v>241</v>
      </c>
      <c r="T37" t="s">
        <v>40</v>
      </c>
      <c r="U37" t="s">
        <v>40</v>
      </c>
      <c r="V37" t="s">
        <v>33</v>
      </c>
      <c r="W37" t="s">
        <v>41</v>
      </c>
      <c r="X37" t="s">
        <v>40</v>
      </c>
      <c r="Y37" t="s">
        <v>33</v>
      </c>
      <c r="Z37" t="s">
        <v>33</v>
      </c>
      <c r="AA37" t="s">
        <v>33</v>
      </c>
      <c r="AB37" t="s">
        <v>33</v>
      </c>
      <c r="AD37">
        <v>5</v>
      </c>
      <c r="AE37" t="s">
        <v>42</v>
      </c>
    </row>
    <row r="38" spans="1:31" x14ac:dyDescent="0.3">
      <c r="A38" t="s">
        <v>242</v>
      </c>
      <c r="B38" t="s">
        <v>243</v>
      </c>
      <c r="C38" t="s">
        <v>40</v>
      </c>
      <c r="D38" t="s">
        <v>244</v>
      </c>
      <c r="E38" t="s">
        <v>245</v>
      </c>
      <c r="F38" t="s">
        <v>172</v>
      </c>
      <c r="G38" t="s">
        <v>173</v>
      </c>
      <c r="H38" t="s">
        <v>246</v>
      </c>
      <c r="I38" s="1" t="s">
        <v>35</v>
      </c>
      <c r="J38" s="1" t="s">
        <v>35</v>
      </c>
      <c r="K38" s="1" t="s">
        <v>35</v>
      </c>
      <c r="L38" s="1" t="s">
        <v>35</v>
      </c>
      <c r="M38" t="s">
        <v>36</v>
      </c>
      <c r="N38" t="s">
        <v>33</v>
      </c>
      <c r="O38" t="s">
        <v>82</v>
      </c>
      <c r="P38" t="s">
        <v>38</v>
      </c>
      <c r="Q38" t="s">
        <v>33</v>
      </c>
      <c r="R38" t="s">
        <v>33</v>
      </c>
      <c r="S38" s="1" t="s">
        <v>241</v>
      </c>
      <c r="T38" t="s">
        <v>40</v>
      </c>
      <c r="U38" t="s">
        <v>40</v>
      </c>
      <c r="V38" t="s">
        <v>33</v>
      </c>
      <c r="W38" t="s">
        <v>41</v>
      </c>
      <c r="X38" t="s">
        <v>40</v>
      </c>
      <c r="Y38" t="s">
        <v>33</v>
      </c>
      <c r="Z38" t="s">
        <v>33</v>
      </c>
      <c r="AA38" t="s">
        <v>33</v>
      </c>
      <c r="AB38" t="s">
        <v>33</v>
      </c>
      <c r="AD38">
        <v>5</v>
      </c>
      <c r="AE38" t="s">
        <v>42</v>
      </c>
    </row>
    <row r="39" spans="1:31" x14ac:dyDescent="0.3">
      <c r="A39" t="s">
        <v>247</v>
      </c>
      <c r="B39" t="s">
        <v>248</v>
      </c>
      <c r="C39" t="s">
        <v>40</v>
      </c>
      <c r="D39" t="s">
        <v>249</v>
      </c>
      <c r="E39" t="s">
        <v>250</v>
      </c>
      <c r="F39" t="s">
        <v>127</v>
      </c>
      <c r="G39" t="s">
        <v>157</v>
      </c>
      <c r="H39" t="s">
        <v>251</v>
      </c>
      <c r="I39" s="1" t="s">
        <v>35</v>
      </c>
      <c r="J39" s="1" t="s">
        <v>35</v>
      </c>
      <c r="K39" s="1" t="s">
        <v>35</v>
      </c>
      <c r="L39" s="1" t="s">
        <v>35</v>
      </c>
      <c r="M39" t="s">
        <v>36</v>
      </c>
      <c r="N39" t="s">
        <v>33</v>
      </c>
      <c r="O39" t="s">
        <v>82</v>
      </c>
      <c r="P39" t="s">
        <v>38</v>
      </c>
      <c r="Q39" t="s">
        <v>33</v>
      </c>
      <c r="R39" t="s">
        <v>33</v>
      </c>
      <c r="S39" s="1" t="s">
        <v>252</v>
      </c>
      <c r="T39" t="s">
        <v>40</v>
      </c>
      <c r="U39" t="s">
        <v>40</v>
      </c>
      <c r="V39" t="s">
        <v>33</v>
      </c>
      <c r="W39" t="s">
        <v>41</v>
      </c>
      <c r="X39" t="s">
        <v>40</v>
      </c>
      <c r="Y39" t="s">
        <v>33</v>
      </c>
      <c r="Z39" t="s">
        <v>33</v>
      </c>
      <c r="AA39" t="s">
        <v>33</v>
      </c>
      <c r="AB39" t="s">
        <v>33</v>
      </c>
      <c r="AD39">
        <v>5</v>
      </c>
      <c r="AE39" t="s">
        <v>42</v>
      </c>
    </row>
    <row r="40" spans="1:31" x14ac:dyDescent="0.3">
      <c r="A40" t="s">
        <v>253</v>
      </c>
      <c r="B40" t="s">
        <v>254</v>
      </c>
      <c r="C40" t="s">
        <v>40</v>
      </c>
      <c r="D40" t="s">
        <v>255</v>
      </c>
      <c r="E40" t="s">
        <v>256</v>
      </c>
      <c r="F40" t="s">
        <v>257</v>
      </c>
      <c r="G40" t="s">
        <v>120</v>
      </c>
      <c r="H40" s="1" t="s">
        <v>35</v>
      </c>
      <c r="I40" s="1" t="s">
        <v>35</v>
      </c>
      <c r="J40" s="1" t="s">
        <v>35</v>
      </c>
      <c r="K40" s="1" t="s">
        <v>35</v>
      </c>
      <c r="L40" s="1" t="s">
        <v>35</v>
      </c>
      <c r="M40" t="s">
        <v>36</v>
      </c>
      <c r="N40" t="s">
        <v>40</v>
      </c>
      <c r="O40" t="s">
        <v>82</v>
      </c>
      <c r="P40" s="1" t="s">
        <v>70</v>
      </c>
      <c r="Q40" t="s">
        <v>40</v>
      </c>
      <c r="R40" t="s">
        <v>33</v>
      </c>
      <c r="S40" s="1" t="s">
        <v>258</v>
      </c>
      <c r="T40" t="s">
        <v>40</v>
      </c>
      <c r="U40" t="s">
        <v>40</v>
      </c>
      <c r="V40" t="s">
        <v>33</v>
      </c>
      <c r="W40" t="s">
        <v>41</v>
      </c>
      <c r="X40" t="s">
        <v>40</v>
      </c>
      <c r="Y40" t="s">
        <v>33</v>
      </c>
      <c r="Z40" t="s">
        <v>33</v>
      </c>
      <c r="AA40" t="s">
        <v>33</v>
      </c>
      <c r="AB40" t="s">
        <v>33</v>
      </c>
      <c r="AC40" t="s">
        <v>49</v>
      </c>
      <c r="AD40">
        <v>4</v>
      </c>
      <c r="AE40" t="s">
        <v>50</v>
      </c>
    </row>
    <row r="41" spans="1:31" x14ac:dyDescent="0.3">
      <c r="A41" t="s">
        <v>259</v>
      </c>
      <c r="B41" t="s">
        <v>260</v>
      </c>
      <c r="C41" t="s">
        <v>40</v>
      </c>
      <c r="D41" t="s">
        <v>261</v>
      </c>
      <c r="E41" t="s">
        <v>262</v>
      </c>
      <c r="F41" t="s">
        <v>127</v>
      </c>
      <c r="G41" t="s">
        <v>263</v>
      </c>
      <c r="H41" t="s">
        <v>264</v>
      </c>
      <c r="I41" s="1" t="s">
        <v>35</v>
      </c>
      <c r="J41" s="1" t="s">
        <v>35</v>
      </c>
      <c r="K41" s="1" t="s">
        <v>35</v>
      </c>
      <c r="L41" s="1" t="s">
        <v>35</v>
      </c>
      <c r="M41" t="s">
        <v>46</v>
      </c>
      <c r="N41" t="s">
        <v>33</v>
      </c>
      <c r="O41" t="s">
        <v>265</v>
      </c>
      <c r="P41" t="s">
        <v>38</v>
      </c>
      <c r="Q41" t="s">
        <v>33</v>
      </c>
      <c r="R41" t="s">
        <v>33</v>
      </c>
      <c r="S41" s="1" t="s">
        <v>266</v>
      </c>
      <c r="T41" t="s">
        <v>40</v>
      </c>
      <c r="U41" t="s">
        <v>40</v>
      </c>
      <c r="V41" t="s">
        <v>33</v>
      </c>
      <c r="W41" t="s">
        <v>41</v>
      </c>
      <c r="X41" t="s">
        <v>40</v>
      </c>
      <c r="Y41" t="s">
        <v>33</v>
      </c>
      <c r="Z41" t="s">
        <v>33</v>
      </c>
      <c r="AA41" t="s">
        <v>33</v>
      </c>
      <c r="AB41" t="s">
        <v>33</v>
      </c>
      <c r="AD41">
        <v>5</v>
      </c>
      <c r="AE41" t="s">
        <v>42</v>
      </c>
    </row>
    <row r="42" spans="1:31" x14ac:dyDescent="0.3">
      <c r="A42" t="s">
        <v>84</v>
      </c>
      <c r="B42" t="s">
        <v>85</v>
      </c>
      <c r="C42" t="s">
        <v>40</v>
      </c>
      <c r="D42" t="s">
        <v>267</v>
      </c>
      <c r="E42" t="s">
        <v>268</v>
      </c>
      <c r="F42" t="s">
        <v>143</v>
      </c>
      <c r="G42" t="s">
        <v>269</v>
      </c>
      <c r="H42" t="s">
        <v>270</v>
      </c>
      <c r="I42" s="1" t="s">
        <v>35</v>
      </c>
      <c r="J42" s="1" t="s">
        <v>35</v>
      </c>
      <c r="K42" s="1" t="s">
        <v>35</v>
      </c>
      <c r="L42" s="1" t="s">
        <v>35</v>
      </c>
      <c r="M42" t="s">
        <v>36</v>
      </c>
      <c r="N42" t="s">
        <v>33</v>
      </c>
      <c r="O42" t="s">
        <v>152</v>
      </c>
      <c r="P42" t="s">
        <v>38</v>
      </c>
      <c r="Q42" t="s">
        <v>33</v>
      </c>
      <c r="R42" t="s">
        <v>33</v>
      </c>
      <c r="S42" s="1" t="s">
        <v>271</v>
      </c>
      <c r="T42" t="s">
        <v>40</v>
      </c>
      <c r="U42" t="s">
        <v>40</v>
      </c>
      <c r="V42" t="s">
        <v>33</v>
      </c>
      <c r="W42" t="s">
        <v>41</v>
      </c>
      <c r="X42" t="s">
        <v>40</v>
      </c>
      <c r="Y42" t="s">
        <v>33</v>
      </c>
      <c r="Z42" t="s">
        <v>33</v>
      </c>
      <c r="AA42" t="s">
        <v>33</v>
      </c>
      <c r="AB42" t="s">
        <v>33</v>
      </c>
      <c r="AC42" t="s">
        <v>49</v>
      </c>
      <c r="AD42">
        <v>4</v>
      </c>
      <c r="AE42" t="s">
        <v>50</v>
      </c>
    </row>
    <row r="43" spans="1:31" x14ac:dyDescent="0.3">
      <c r="A43" t="s">
        <v>272</v>
      </c>
      <c r="B43" t="s">
        <v>273</v>
      </c>
      <c r="C43" t="s">
        <v>40</v>
      </c>
      <c r="D43" t="s">
        <v>274</v>
      </c>
      <c r="E43" t="s">
        <v>275</v>
      </c>
      <c r="F43" t="s">
        <v>127</v>
      </c>
      <c r="G43" t="s">
        <v>150</v>
      </c>
      <c r="H43" t="s">
        <v>276</v>
      </c>
      <c r="I43" s="1" t="s">
        <v>35</v>
      </c>
      <c r="J43" s="1" t="s">
        <v>35</v>
      </c>
      <c r="K43" s="1" t="s">
        <v>35</v>
      </c>
      <c r="L43" s="1" t="s">
        <v>35</v>
      </c>
      <c r="M43" t="s">
        <v>36</v>
      </c>
      <c r="N43" t="s">
        <v>33</v>
      </c>
      <c r="O43" t="s">
        <v>82</v>
      </c>
      <c r="P43" t="s">
        <v>38</v>
      </c>
      <c r="Q43" t="s">
        <v>33</v>
      </c>
      <c r="R43" t="s">
        <v>33</v>
      </c>
      <c r="S43" s="1" t="s">
        <v>277</v>
      </c>
      <c r="T43" t="s">
        <v>40</v>
      </c>
      <c r="U43" t="s">
        <v>40</v>
      </c>
      <c r="V43" t="s">
        <v>33</v>
      </c>
      <c r="W43" t="s">
        <v>41</v>
      </c>
      <c r="X43" t="s">
        <v>40</v>
      </c>
      <c r="Y43" t="s">
        <v>33</v>
      </c>
      <c r="Z43" t="s">
        <v>33</v>
      </c>
      <c r="AA43" t="s">
        <v>33</v>
      </c>
      <c r="AB43" t="s">
        <v>33</v>
      </c>
      <c r="AD43">
        <v>5</v>
      </c>
      <c r="AE43" t="s">
        <v>42</v>
      </c>
    </row>
    <row r="44" spans="1:31" x14ac:dyDescent="0.3">
      <c r="A44" t="s">
        <v>278</v>
      </c>
      <c r="B44" t="s">
        <v>279</v>
      </c>
      <c r="C44" t="s">
        <v>40</v>
      </c>
      <c r="D44" t="s">
        <v>280</v>
      </c>
      <c r="E44" t="s">
        <v>281</v>
      </c>
      <c r="F44" t="s">
        <v>172</v>
      </c>
      <c r="G44" t="s">
        <v>173</v>
      </c>
      <c r="H44" t="s">
        <v>282</v>
      </c>
      <c r="I44" s="1" t="s">
        <v>35</v>
      </c>
      <c r="J44" s="1" t="s">
        <v>35</v>
      </c>
      <c r="K44" s="1" t="s">
        <v>35</v>
      </c>
      <c r="L44" s="1" t="s">
        <v>35</v>
      </c>
      <c r="M44" t="s">
        <v>36</v>
      </c>
      <c r="N44" t="s">
        <v>40</v>
      </c>
      <c r="O44" t="s">
        <v>82</v>
      </c>
      <c r="P44" t="s">
        <v>38</v>
      </c>
      <c r="Q44" t="s">
        <v>33</v>
      </c>
      <c r="R44" t="s">
        <v>33</v>
      </c>
      <c r="S44" s="1" t="s">
        <v>167</v>
      </c>
      <c r="T44" t="s">
        <v>40</v>
      </c>
      <c r="U44" t="s">
        <v>40</v>
      </c>
      <c r="V44" t="s">
        <v>33</v>
      </c>
      <c r="W44" t="s">
        <v>41</v>
      </c>
      <c r="X44" t="s">
        <v>40</v>
      </c>
      <c r="Y44" t="s">
        <v>33</v>
      </c>
      <c r="Z44" t="s">
        <v>33</v>
      </c>
      <c r="AA44" t="s">
        <v>33</v>
      </c>
      <c r="AB44" t="s">
        <v>33</v>
      </c>
      <c r="AD44">
        <v>5</v>
      </c>
      <c r="AE44" t="s">
        <v>42</v>
      </c>
    </row>
    <row r="45" spans="1:31" x14ac:dyDescent="0.3">
      <c r="A45" t="s">
        <v>283</v>
      </c>
      <c r="B45" t="s">
        <v>284</v>
      </c>
      <c r="C45" t="s">
        <v>40</v>
      </c>
      <c r="D45" t="s">
        <v>285</v>
      </c>
      <c r="E45" t="s">
        <v>286</v>
      </c>
      <c r="F45" t="s">
        <v>127</v>
      </c>
      <c r="G45" t="s">
        <v>233</v>
      </c>
      <c r="H45" t="s">
        <v>287</v>
      </c>
      <c r="I45" s="1" t="s">
        <v>35</v>
      </c>
      <c r="J45" s="1" t="s">
        <v>35</v>
      </c>
      <c r="K45" s="1" t="s">
        <v>35</v>
      </c>
      <c r="L45" s="1" t="s">
        <v>35</v>
      </c>
      <c r="M45" t="s">
        <v>46</v>
      </c>
      <c r="N45" t="s">
        <v>33</v>
      </c>
      <c r="O45" t="s">
        <v>235</v>
      </c>
      <c r="P45" s="1" t="s">
        <v>83</v>
      </c>
      <c r="Q45" t="s">
        <v>33</v>
      </c>
      <c r="R45" t="s">
        <v>33</v>
      </c>
      <c r="S45" s="1" t="s">
        <v>35</v>
      </c>
      <c r="T45" t="s">
        <v>40</v>
      </c>
      <c r="U45" t="s">
        <v>40</v>
      </c>
      <c r="V45" t="s">
        <v>33</v>
      </c>
      <c r="W45" t="s">
        <v>41</v>
      </c>
      <c r="X45" t="s">
        <v>40</v>
      </c>
      <c r="Y45" t="s">
        <v>33</v>
      </c>
      <c r="Z45" t="s">
        <v>33</v>
      </c>
      <c r="AA45" t="s">
        <v>33</v>
      </c>
      <c r="AB45" t="s">
        <v>33</v>
      </c>
      <c r="AD45">
        <v>5</v>
      </c>
      <c r="AE45" t="s">
        <v>42</v>
      </c>
    </row>
    <row r="46" spans="1:31" x14ac:dyDescent="0.3">
      <c r="A46" t="s">
        <v>288</v>
      </c>
      <c r="B46" t="s">
        <v>289</v>
      </c>
      <c r="C46" t="s">
        <v>40</v>
      </c>
      <c r="D46" t="s">
        <v>290</v>
      </c>
      <c r="E46" t="s">
        <v>291</v>
      </c>
      <c r="F46" t="s">
        <v>143</v>
      </c>
      <c r="G46" t="s">
        <v>292</v>
      </c>
      <c r="H46" t="s">
        <v>293</v>
      </c>
      <c r="I46" s="1" t="s">
        <v>35</v>
      </c>
      <c r="J46" s="1" t="s">
        <v>35</v>
      </c>
      <c r="K46" s="1" t="s">
        <v>35</v>
      </c>
      <c r="L46" s="1" t="s">
        <v>35</v>
      </c>
      <c r="M46" t="s">
        <v>46</v>
      </c>
      <c r="N46" t="s">
        <v>33</v>
      </c>
      <c r="O46" t="s">
        <v>79</v>
      </c>
      <c r="P46" t="s">
        <v>38</v>
      </c>
      <c r="Q46" t="s">
        <v>33</v>
      </c>
      <c r="R46" t="s">
        <v>33</v>
      </c>
      <c r="S46" s="1" t="s">
        <v>35</v>
      </c>
      <c r="T46" t="s">
        <v>40</v>
      </c>
      <c r="U46" t="s">
        <v>40</v>
      </c>
      <c r="V46" t="s">
        <v>33</v>
      </c>
      <c r="W46" t="s">
        <v>41</v>
      </c>
      <c r="X46" t="s">
        <v>40</v>
      </c>
      <c r="Y46" t="s">
        <v>33</v>
      </c>
      <c r="Z46" t="s">
        <v>33</v>
      </c>
      <c r="AA46" t="s">
        <v>33</v>
      </c>
      <c r="AB46" t="s">
        <v>33</v>
      </c>
      <c r="AC46" t="s">
        <v>49</v>
      </c>
      <c r="AD46">
        <v>4</v>
      </c>
      <c r="AE46" t="s">
        <v>50</v>
      </c>
    </row>
    <row r="47" spans="1:31" x14ac:dyDescent="0.3">
      <c r="A47" t="s">
        <v>294</v>
      </c>
      <c r="B47" t="s">
        <v>295</v>
      </c>
      <c r="C47" t="s">
        <v>40</v>
      </c>
      <c r="D47" t="s">
        <v>296</v>
      </c>
      <c r="E47" t="s">
        <v>297</v>
      </c>
      <c r="F47" t="s">
        <v>143</v>
      </c>
      <c r="G47" t="s">
        <v>298</v>
      </c>
      <c r="H47" s="1" t="s">
        <v>299</v>
      </c>
      <c r="I47" s="1" t="s">
        <v>35</v>
      </c>
      <c r="J47" s="1" t="s">
        <v>35</v>
      </c>
      <c r="K47" s="1" t="s">
        <v>35</v>
      </c>
      <c r="L47" s="1" t="s">
        <v>35</v>
      </c>
      <c r="M47" t="s">
        <v>36</v>
      </c>
      <c r="N47" t="s">
        <v>33</v>
      </c>
      <c r="O47" t="s">
        <v>152</v>
      </c>
      <c r="P47" t="s">
        <v>38</v>
      </c>
      <c r="Q47" t="s">
        <v>33</v>
      </c>
      <c r="R47" t="s">
        <v>33</v>
      </c>
      <c r="S47" s="1" t="s">
        <v>300</v>
      </c>
      <c r="T47" t="s">
        <v>40</v>
      </c>
      <c r="U47" t="s">
        <v>40</v>
      </c>
      <c r="V47" t="s">
        <v>33</v>
      </c>
      <c r="W47" t="s">
        <v>41</v>
      </c>
      <c r="X47" t="s">
        <v>40</v>
      </c>
      <c r="Y47" t="s">
        <v>33</v>
      </c>
      <c r="Z47" t="s">
        <v>33</v>
      </c>
      <c r="AA47" t="s">
        <v>33</v>
      </c>
      <c r="AB47" t="s">
        <v>33</v>
      </c>
      <c r="AC47" t="s">
        <v>49</v>
      </c>
      <c r="AD47">
        <v>4</v>
      </c>
      <c r="AE47" t="s">
        <v>50</v>
      </c>
    </row>
    <row r="48" spans="1:31" x14ac:dyDescent="0.3">
      <c r="A48" t="s">
        <v>76</v>
      </c>
      <c r="B48" t="s">
        <v>77</v>
      </c>
      <c r="C48" t="s">
        <v>40</v>
      </c>
      <c r="D48" t="s">
        <v>301</v>
      </c>
      <c r="E48" t="s">
        <v>302</v>
      </c>
      <c r="F48" t="s">
        <v>303</v>
      </c>
      <c r="G48" t="s">
        <v>304</v>
      </c>
      <c r="H48" t="s">
        <v>305</v>
      </c>
      <c r="I48" s="1" t="s">
        <v>35</v>
      </c>
      <c r="J48" s="1" t="s">
        <v>35</v>
      </c>
      <c r="K48" s="1" t="s">
        <v>35</v>
      </c>
      <c r="L48" s="1" t="s">
        <v>35</v>
      </c>
      <c r="M48" t="s">
        <v>36</v>
      </c>
      <c r="N48" t="s">
        <v>40</v>
      </c>
      <c r="O48" t="s">
        <v>64</v>
      </c>
      <c r="P48" s="1" t="s">
        <v>70</v>
      </c>
      <c r="Q48" t="s">
        <v>40</v>
      </c>
      <c r="R48" t="s">
        <v>33</v>
      </c>
      <c r="S48" s="1" t="s">
        <v>80</v>
      </c>
      <c r="T48" t="s">
        <v>33</v>
      </c>
      <c r="U48" t="s">
        <v>40</v>
      </c>
      <c r="V48" t="s">
        <v>33</v>
      </c>
      <c r="W48" t="s">
        <v>41</v>
      </c>
      <c r="X48" t="s">
        <v>40</v>
      </c>
      <c r="Y48" t="s">
        <v>33</v>
      </c>
      <c r="Z48" t="s">
        <v>33</v>
      </c>
      <c r="AA48" t="s">
        <v>33</v>
      </c>
      <c r="AB48" t="s">
        <v>33</v>
      </c>
      <c r="AC48" t="s">
        <v>306</v>
      </c>
      <c r="AD48">
        <v>5</v>
      </c>
      <c r="AE48" t="s">
        <v>42</v>
      </c>
    </row>
    <row r="49" spans="1:31" x14ac:dyDescent="0.3">
      <c r="A49" t="s">
        <v>307</v>
      </c>
      <c r="B49" t="s">
        <v>308</v>
      </c>
      <c r="C49" t="s">
        <v>40</v>
      </c>
      <c r="D49" t="s">
        <v>309</v>
      </c>
      <c r="E49" t="s">
        <v>310</v>
      </c>
      <c r="F49" t="s">
        <v>58</v>
      </c>
      <c r="G49" t="s">
        <v>311</v>
      </c>
      <c r="H49" t="s">
        <v>312</v>
      </c>
      <c r="I49" s="1" t="s">
        <v>35</v>
      </c>
      <c r="J49" s="1" t="s">
        <v>35</v>
      </c>
      <c r="K49" s="1" t="s">
        <v>35</v>
      </c>
      <c r="L49" s="1" t="s">
        <v>35</v>
      </c>
      <c r="M49" t="s">
        <v>36</v>
      </c>
      <c r="N49" t="s">
        <v>33</v>
      </c>
      <c r="O49" t="s">
        <v>82</v>
      </c>
      <c r="P49" t="s">
        <v>38</v>
      </c>
      <c r="Q49" t="s">
        <v>33</v>
      </c>
      <c r="R49" t="s">
        <v>33</v>
      </c>
      <c r="S49" s="1" t="s">
        <v>313</v>
      </c>
      <c r="T49" t="s">
        <v>40</v>
      </c>
      <c r="U49" t="s">
        <v>40</v>
      </c>
      <c r="V49" t="s">
        <v>33</v>
      </c>
      <c r="W49" t="s">
        <v>41</v>
      </c>
      <c r="X49" t="s">
        <v>40</v>
      </c>
      <c r="Y49" t="s">
        <v>33</v>
      </c>
      <c r="Z49" t="s">
        <v>33</v>
      </c>
      <c r="AA49" t="s">
        <v>33</v>
      </c>
      <c r="AB49" t="s">
        <v>33</v>
      </c>
      <c r="AD49">
        <v>5</v>
      </c>
      <c r="AE49" t="s">
        <v>42</v>
      </c>
    </row>
    <row r="50" spans="1:31" x14ac:dyDescent="0.3">
      <c r="A50" t="s">
        <v>314</v>
      </c>
      <c r="B50" t="s">
        <v>315</v>
      </c>
      <c r="C50" t="s">
        <v>40</v>
      </c>
      <c r="D50" t="s">
        <v>316</v>
      </c>
      <c r="E50" t="s">
        <v>317</v>
      </c>
      <c r="F50" t="s">
        <v>172</v>
      </c>
      <c r="G50" t="s">
        <v>173</v>
      </c>
      <c r="H50" t="s">
        <v>318</v>
      </c>
      <c r="I50" s="1" t="s">
        <v>35</v>
      </c>
      <c r="J50" s="1" t="s">
        <v>35</v>
      </c>
      <c r="K50" s="1" t="s">
        <v>35</v>
      </c>
      <c r="L50" s="1" t="s">
        <v>35</v>
      </c>
      <c r="M50" t="s">
        <v>36</v>
      </c>
      <c r="N50" t="s">
        <v>33</v>
      </c>
      <c r="O50" t="s">
        <v>82</v>
      </c>
      <c r="P50" t="s">
        <v>38</v>
      </c>
      <c r="Q50" t="s">
        <v>33</v>
      </c>
      <c r="R50" t="s">
        <v>33</v>
      </c>
      <c r="S50" s="1" t="s">
        <v>319</v>
      </c>
      <c r="T50" t="s">
        <v>40</v>
      </c>
      <c r="U50" t="s">
        <v>40</v>
      </c>
      <c r="V50" t="s">
        <v>33</v>
      </c>
      <c r="W50" t="s">
        <v>41</v>
      </c>
      <c r="X50" t="s">
        <v>40</v>
      </c>
      <c r="Y50" t="s">
        <v>33</v>
      </c>
      <c r="Z50" t="s">
        <v>33</v>
      </c>
      <c r="AA50" t="s">
        <v>33</v>
      </c>
      <c r="AB50" t="s">
        <v>33</v>
      </c>
      <c r="AC50" t="s">
        <v>49</v>
      </c>
      <c r="AD50">
        <v>4</v>
      </c>
      <c r="AE50" t="s">
        <v>50</v>
      </c>
    </row>
    <row r="51" spans="1:31" x14ac:dyDescent="0.3">
      <c r="A51" t="s">
        <v>320</v>
      </c>
      <c r="B51" t="s">
        <v>321</v>
      </c>
      <c r="C51" t="s">
        <v>40</v>
      </c>
      <c r="D51" t="s">
        <v>322</v>
      </c>
      <c r="E51" t="s">
        <v>323</v>
      </c>
      <c r="F51" t="s">
        <v>127</v>
      </c>
      <c r="G51" t="s">
        <v>157</v>
      </c>
      <c r="H51" t="s">
        <v>324</v>
      </c>
      <c r="I51" s="1" t="s">
        <v>35</v>
      </c>
      <c r="J51" s="1" t="s">
        <v>35</v>
      </c>
      <c r="K51" s="1" t="s">
        <v>35</v>
      </c>
      <c r="L51" s="1" t="s">
        <v>35</v>
      </c>
      <c r="M51" t="s">
        <v>46</v>
      </c>
      <c r="N51" t="s">
        <v>33</v>
      </c>
      <c r="O51" t="s">
        <v>235</v>
      </c>
      <c r="P51" t="s">
        <v>38</v>
      </c>
      <c r="Q51" t="s">
        <v>33</v>
      </c>
      <c r="R51" t="s">
        <v>33</v>
      </c>
      <c r="S51" s="1" t="s">
        <v>325</v>
      </c>
      <c r="T51" t="s">
        <v>40</v>
      </c>
      <c r="U51" t="s">
        <v>40</v>
      </c>
      <c r="V51" t="s">
        <v>33</v>
      </c>
      <c r="W51" t="s">
        <v>41</v>
      </c>
      <c r="X51" t="s">
        <v>40</v>
      </c>
      <c r="Y51" t="s">
        <v>33</v>
      </c>
      <c r="Z51" t="s">
        <v>33</v>
      </c>
      <c r="AA51" t="s">
        <v>33</v>
      </c>
      <c r="AB51" t="s">
        <v>33</v>
      </c>
      <c r="AD51">
        <v>5</v>
      </c>
      <c r="AE51" t="s">
        <v>42</v>
      </c>
    </row>
    <row r="52" spans="1:31" x14ac:dyDescent="0.3">
      <c r="A52" t="s">
        <v>326</v>
      </c>
      <c r="B52" t="s">
        <v>327</v>
      </c>
      <c r="C52" t="s">
        <v>40</v>
      </c>
      <c r="D52" t="s">
        <v>328</v>
      </c>
      <c r="E52" t="s">
        <v>329</v>
      </c>
      <c r="F52" t="s">
        <v>143</v>
      </c>
      <c r="G52" t="s">
        <v>157</v>
      </c>
      <c r="H52" t="s">
        <v>330</v>
      </c>
      <c r="I52" s="1" t="s">
        <v>35</v>
      </c>
      <c r="J52" s="1" t="s">
        <v>35</v>
      </c>
      <c r="K52" s="1" t="s">
        <v>35</v>
      </c>
      <c r="L52" s="1" t="s">
        <v>35</v>
      </c>
      <c r="M52" t="s">
        <v>36</v>
      </c>
      <c r="N52" t="s">
        <v>33</v>
      </c>
      <c r="O52" t="s">
        <v>64</v>
      </c>
      <c r="P52" t="s">
        <v>38</v>
      </c>
      <c r="Q52" t="s">
        <v>33</v>
      </c>
      <c r="R52" t="s">
        <v>33</v>
      </c>
      <c r="S52" s="1" t="s">
        <v>331</v>
      </c>
      <c r="T52" t="s">
        <v>40</v>
      </c>
      <c r="U52" t="s">
        <v>40</v>
      </c>
      <c r="V52" t="s">
        <v>33</v>
      </c>
      <c r="W52" t="s">
        <v>41</v>
      </c>
      <c r="X52" t="s">
        <v>40</v>
      </c>
      <c r="Y52" t="s">
        <v>33</v>
      </c>
      <c r="Z52" t="s">
        <v>33</v>
      </c>
      <c r="AA52" t="s">
        <v>33</v>
      </c>
      <c r="AB52" t="s">
        <v>33</v>
      </c>
      <c r="AD52">
        <v>4</v>
      </c>
      <c r="AE52" t="s">
        <v>50</v>
      </c>
    </row>
    <row r="53" spans="1:31" x14ac:dyDescent="0.3">
      <c r="A53" t="s">
        <v>332</v>
      </c>
      <c r="B53" t="s">
        <v>333</v>
      </c>
      <c r="C53" t="s">
        <v>40</v>
      </c>
      <c r="D53" t="s">
        <v>334</v>
      </c>
      <c r="E53" t="s">
        <v>335</v>
      </c>
      <c r="F53" t="s">
        <v>143</v>
      </c>
      <c r="G53" t="s">
        <v>157</v>
      </c>
      <c r="H53" t="s">
        <v>336</v>
      </c>
      <c r="I53" s="1" t="s">
        <v>35</v>
      </c>
      <c r="J53" s="1" t="s">
        <v>35</v>
      </c>
      <c r="K53" s="1" t="s">
        <v>35</v>
      </c>
      <c r="L53" s="1" t="s">
        <v>35</v>
      </c>
      <c r="M53" t="s">
        <v>36</v>
      </c>
      <c r="N53" t="s">
        <v>33</v>
      </c>
      <c r="O53" t="s">
        <v>82</v>
      </c>
      <c r="P53" t="s">
        <v>38</v>
      </c>
      <c r="Q53" t="s">
        <v>33</v>
      </c>
      <c r="R53" t="s">
        <v>33</v>
      </c>
      <c r="S53" s="1" t="s">
        <v>337</v>
      </c>
      <c r="T53" t="s">
        <v>40</v>
      </c>
      <c r="U53" t="s">
        <v>40</v>
      </c>
      <c r="V53" t="s">
        <v>33</v>
      </c>
      <c r="W53" t="s">
        <v>41</v>
      </c>
      <c r="X53" t="s">
        <v>40</v>
      </c>
      <c r="Y53" t="s">
        <v>33</v>
      </c>
      <c r="Z53" t="s">
        <v>33</v>
      </c>
      <c r="AA53" t="s">
        <v>33</v>
      </c>
      <c r="AB53" t="s">
        <v>33</v>
      </c>
      <c r="AC53" t="s">
        <v>49</v>
      </c>
      <c r="AD53">
        <v>4</v>
      </c>
      <c r="AE53" t="s">
        <v>50</v>
      </c>
    </row>
    <row r="54" spans="1:31" x14ac:dyDescent="0.3">
      <c r="A54" t="s">
        <v>338</v>
      </c>
      <c r="B54" t="s">
        <v>339</v>
      </c>
      <c r="C54" t="s">
        <v>40</v>
      </c>
      <c r="D54" t="s">
        <v>340</v>
      </c>
      <c r="E54" t="s">
        <v>341</v>
      </c>
      <c r="F54" t="s">
        <v>127</v>
      </c>
      <c r="G54" t="s">
        <v>128</v>
      </c>
      <c r="H54" t="s">
        <v>342</v>
      </c>
      <c r="I54" s="1" t="s">
        <v>35</v>
      </c>
      <c r="J54" s="1" t="s">
        <v>35</v>
      </c>
      <c r="K54" s="1" t="s">
        <v>35</v>
      </c>
      <c r="L54" s="1" t="s">
        <v>35</v>
      </c>
      <c r="M54" t="s">
        <v>46</v>
      </c>
      <c r="N54" t="s">
        <v>33</v>
      </c>
      <c r="O54" t="s">
        <v>79</v>
      </c>
      <c r="P54" t="s">
        <v>38</v>
      </c>
      <c r="Q54" t="s">
        <v>33</v>
      </c>
      <c r="R54" t="s">
        <v>33</v>
      </c>
      <c r="S54" s="1" t="s">
        <v>343</v>
      </c>
      <c r="T54" t="s">
        <v>40</v>
      </c>
      <c r="U54" t="s">
        <v>40</v>
      </c>
      <c r="V54" t="s">
        <v>33</v>
      </c>
      <c r="W54" t="s">
        <v>41</v>
      </c>
      <c r="X54" t="s">
        <v>40</v>
      </c>
      <c r="Y54" t="s">
        <v>33</v>
      </c>
      <c r="Z54" t="s">
        <v>33</v>
      </c>
      <c r="AA54" t="s">
        <v>33</v>
      </c>
      <c r="AB54" t="s">
        <v>33</v>
      </c>
      <c r="AD54">
        <v>5</v>
      </c>
      <c r="AE54" t="s">
        <v>42</v>
      </c>
    </row>
    <row r="55" spans="1:31" x14ac:dyDescent="0.3">
      <c r="A55" t="s">
        <v>344</v>
      </c>
      <c r="B55" t="s">
        <v>345</v>
      </c>
      <c r="C55" t="s">
        <v>40</v>
      </c>
      <c r="D55" t="s">
        <v>346</v>
      </c>
      <c r="E55" t="s">
        <v>347</v>
      </c>
      <c r="F55" t="s">
        <v>257</v>
      </c>
      <c r="G55" t="s">
        <v>348</v>
      </c>
      <c r="H55" s="1" t="s">
        <v>349</v>
      </c>
      <c r="I55" s="1" t="s">
        <v>35</v>
      </c>
      <c r="J55" s="1" t="s">
        <v>35</v>
      </c>
      <c r="K55" s="1" t="s">
        <v>35</v>
      </c>
      <c r="L55" s="1" t="s">
        <v>35</v>
      </c>
      <c r="M55" t="s">
        <v>46</v>
      </c>
      <c r="N55" t="s">
        <v>33</v>
      </c>
      <c r="O55" t="s">
        <v>350</v>
      </c>
      <c r="P55" t="s">
        <v>38</v>
      </c>
      <c r="Q55" t="s">
        <v>33</v>
      </c>
      <c r="R55" t="s">
        <v>33</v>
      </c>
      <c r="S55" s="1" t="s">
        <v>351</v>
      </c>
      <c r="T55" t="s">
        <v>40</v>
      </c>
      <c r="U55" t="s">
        <v>33</v>
      </c>
      <c r="V55" t="s">
        <v>33</v>
      </c>
      <c r="W55" t="s">
        <v>41</v>
      </c>
      <c r="X55" t="s">
        <v>40</v>
      </c>
      <c r="Y55" t="s">
        <v>33</v>
      </c>
      <c r="Z55" t="s">
        <v>33</v>
      </c>
      <c r="AA55" t="s">
        <v>33</v>
      </c>
      <c r="AB55" t="s">
        <v>33</v>
      </c>
      <c r="AC55" t="s">
        <v>49</v>
      </c>
      <c r="AD55">
        <v>4</v>
      </c>
      <c r="AE55" t="s">
        <v>50</v>
      </c>
    </row>
    <row r="56" spans="1:31" x14ac:dyDescent="0.3">
      <c r="A56" t="s">
        <v>352</v>
      </c>
      <c r="B56" t="s">
        <v>353</v>
      </c>
      <c r="C56" t="s">
        <v>40</v>
      </c>
      <c r="D56" t="s">
        <v>354</v>
      </c>
      <c r="E56" t="s">
        <v>355</v>
      </c>
      <c r="F56" t="s">
        <v>143</v>
      </c>
      <c r="G56" t="s">
        <v>157</v>
      </c>
      <c r="H56" t="s">
        <v>356</v>
      </c>
      <c r="I56" s="1" t="s">
        <v>35</v>
      </c>
      <c r="J56" s="1" t="s">
        <v>35</v>
      </c>
      <c r="K56" s="1" t="s">
        <v>35</v>
      </c>
      <c r="L56" s="1" t="s">
        <v>35</v>
      </c>
      <c r="M56" t="s">
        <v>36</v>
      </c>
      <c r="N56" t="s">
        <v>33</v>
      </c>
      <c r="O56" t="s">
        <v>357</v>
      </c>
      <c r="P56" t="s">
        <v>38</v>
      </c>
      <c r="Q56" t="s">
        <v>33</v>
      </c>
      <c r="R56" t="s">
        <v>33</v>
      </c>
      <c r="S56" s="1" t="s">
        <v>252</v>
      </c>
      <c r="T56" t="s">
        <v>40</v>
      </c>
      <c r="U56" t="s">
        <v>40</v>
      </c>
      <c r="V56" t="s">
        <v>33</v>
      </c>
      <c r="W56" t="s">
        <v>41</v>
      </c>
      <c r="X56" t="s">
        <v>40</v>
      </c>
      <c r="Y56" t="s">
        <v>33</v>
      </c>
      <c r="Z56" t="s">
        <v>33</v>
      </c>
      <c r="AA56" t="s">
        <v>33</v>
      </c>
      <c r="AB56" t="s">
        <v>33</v>
      </c>
      <c r="AC56" t="s">
        <v>49</v>
      </c>
      <c r="AD56">
        <v>4</v>
      </c>
      <c r="AE56" t="s">
        <v>50</v>
      </c>
    </row>
    <row r="57" spans="1:31" x14ac:dyDescent="0.3">
      <c r="A57" t="s">
        <v>358</v>
      </c>
      <c r="B57" t="s">
        <v>359</v>
      </c>
      <c r="C57" t="s">
        <v>40</v>
      </c>
      <c r="D57" t="s">
        <v>360</v>
      </c>
      <c r="E57" t="s">
        <v>361</v>
      </c>
      <c r="F57" t="s">
        <v>127</v>
      </c>
      <c r="G57" t="s">
        <v>263</v>
      </c>
      <c r="H57" t="s">
        <v>362</v>
      </c>
      <c r="I57" s="1" t="s">
        <v>35</v>
      </c>
      <c r="J57" s="1" t="s">
        <v>35</v>
      </c>
      <c r="K57" s="1" t="s">
        <v>35</v>
      </c>
      <c r="L57" s="1" t="s">
        <v>35</v>
      </c>
      <c r="M57" t="s">
        <v>46</v>
      </c>
      <c r="N57" t="s">
        <v>33</v>
      </c>
      <c r="O57" t="s">
        <v>97</v>
      </c>
      <c r="P57" s="1" t="s">
        <v>83</v>
      </c>
      <c r="Q57" t="s">
        <v>33</v>
      </c>
      <c r="R57" t="s">
        <v>33</v>
      </c>
      <c r="S57" s="1" t="s">
        <v>197</v>
      </c>
      <c r="T57" t="s">
        <v>40</v>
      </c>
      <c r="U57" t="s">
        <v>40</v>
      </c>
      <c r="V57" t="s">
        <v>33</v>
      </c>
      <c r="W57" t="s">
        <v>41</v>
      </c>
      <c r="X57" t="s">
        <v>40</v>
      </c>
      <c r="Y57" t="s">
        <v>33</v>
      </c>
      <c r="Z57" t="s">
        <v>33</v>
      </c>
      <c r="AA57" t="s">
        <v>33</v>
      </c>
      <c r="AB57" t="s">
        <v>33</v>
      </c>
      <c r="AD57">
        <v>5</v>
      </c>
      <c r="AE57" t="s">
        <v>42</v>
      </c>
    </row>
    <row r="58" spans="1:31" x14ac:dyDescent="0.3">
      <c r="A58" t="s">
        <v>363</v>
      </c>
      <c r="B58" s="136" t="s">
        <v>364</v>
      </c>
      <c r="C58" s="136" t="s">
        <v>40</v>
      </c>
      <c r="D58" s="136" t="s">
        <v>365</v>
      </c>
      <c r="E58" s="137" t="s">
        <v>366</v>
      </c>
      <c r="F58" s="137" t="s">
        <v>58</v>
      </c>
      <c r="G58" s="137" t="s">
        <v>120</v>
      </c>
      <c r="H58" s="137" t="s">
        <v>120</v>
      </c>
      <c r="I58" s="137" t="s">
        <v>35</v>
      </c>
      <c r="J58" s="137" t="s">
        <v>35</v>
      </c>
      <c r="K58" s="137" t="s">
        <v>35</v>
      </c>
      <c r="L58" s="137" t="s">
        <v>35</v>
      </c>
      <c r="M58" s="136" t="s">
        <v>36</v>
      </c>
      <c r="N58" s="136" t="s">
        <v>40</v>
      </c>
      <c r="O58" s="136" t="s">
        <v>82</v>
      </c>
      <c r="P58" s="137" t="s">
        <v>38</v>
      </c>
      <c r="Q58" s="136" t="s">
        <v>33</v>
      </c>
      <c r="R58" s="136" t="s">
        <v>33</v>
      </c>
      <c r="S58" s="137" t="s">
        <v>367</v>
      </c>
      <c r="T58" s="136" t="s">
        <v>40</v>
      </c>
      <c r="U58" s="136" t="s">
        <v>40</v>
      </c>
      <c r="V58" s="136" t="s">
        <v>33</v>
      </c>
      <c r="W58" s="136" t="s">
        <v>41</v>
      </c>
      <c r="X58" s="136" t="s">
        <v>40</v>
      </c>
      <c r="Y58" s="136" t="s">
        <v>33</v>
      </c>
      <c r="Z58" s="136" t="s">
        <v>33</v>
      </c>
      <c r="AA58" s="136" t="s">
        <v>33</v>
      </c>
      <c r="AB58" s="136" t="s">
        <v>33</v>
      </c>
      <c r="AC58" s="136"/>
      <c r="AD58">
        <v>5</v>
      </c>
      <c r="AE58" s="136" t="s">
        <v>42</v>
      </c>
    </row>
    <row r="59" spans="1:31" x14ac:dyDescent="0.3">
      <c r="A59" s="136" t="s">
        <v>368</v>
      </c>
      <c r="B59" s="136" t="s">
        <v>369</v>
      </c>
      <c r="C59" s="136" t="s">
        <v>40</v>
      </c>
      <c r="D59" s="136" t="s">
        <v>370</v>
      </c>
      <c r="E59" s="137" t="s">
        <v>371</v>
      </c>
      <c r="F59" s="137" t="s">
        <v>127</v>
      </c>
      <c r="G59" s="137" t="s">
        <v>372</v>
      </c>
      <c r="H59" s="137" t="s">
        <v>373</v>
      </c>
      <c r="I59" s="137" t="s">
        <v>35</v>
      </c>
      <c r="J59" s="137" t="s">
        <v>35</v>
      </c>
      <c r="K59" s="137" t="s">
        <v>35</v>
      </c>
      <c r="L59" s="137" t="s">
        <v>35</v>
      </c>
      <c r="M59" s="136" t="s">
        <v>36</v>
      </c>
      <c r="N59" s="136" t="s">
        <v>40</v>
      </c>
      <c r="O59" s="136" t="s">
        <v>374</v>
      </c>
      <c r="P59" s="137" t="s">
        <v>70</v>
      </c>
      <c r="Q59" s="136" t="s">
        <v>40</v>
      </c>
      <c r="R59" s="136" t="s">
        <v>33</v>
      </c>
      <c r="S59" s="137" t="s">
        <v>375</v>
      </c>
      <c r="T59" s="136" t="s">
        <v>40</v>
      </c>
      <c r="U59" s="136" t="s">
        <v>40</v>
      </c>
      <c r="V59" s="136" t="s">
        <v>33</v>
      </c>
      <c r="W59" s="136" t="s">
        <v>41</v>
      </c>
      <c r="X59" s="136" t="s">
        <v>40</v>
      </c>
      <c r="Y59" s="136" t="s">
        <v>33</v>
      </c>
      <c r="Z59" s="136" t="s">
        <v>33</v>
      </c>
      <c r="AA59" s="136" t="s">
        <v>33</v>
      </c>
      <c r="AB59" s="136" t="s">
        <v>33</v>
      </c>
      <c r="AC59" s="136"/>
      <c r="AD59">
        <v>5</v>
      </c>
      <c r="AE59" s="136" t="s">
        <v>42</v>
      </c>
    </row>
    <row r="60" spans="1:31" x14ac:dyDescent="0.3">
      <c r="A60" s="139" t="s">
        <v>376</v>
      </c>
      <c r="B60" s="136" t="s">
        <v>377</v>
      </c>
      <c r="C60" s="136" t="s">
        <v>33</v>
      </c>
      <c r="D60" s="136" t="s">
        <v>378</v>
      </c>
      <c r="E60" s="137" t="s">
        <v>379</v>
      </c>
      <c r="F60" s="137" t="s">
        <v>127</v>
      </c>
      <c r="G60" s="137" t="s">
        <v>380</v>
      </c>
      <c r="H60" s="137" t="s">
        <v>381</v>
      </c>
      <c r="I60" s="137" t="s">
        <v>35</v>
      </c>
      <c r="J60" s="137" t="s">
        <v>35</v>
      </c>
      <c r="K60" s="137" t="s">
        <v>35</v>
      </c>
      <c r="L60" s="137" t="s">
        <v>35</v>
      </c>
      <c r="M60" s="136" t="s">
        <v>46</v>
      </c>
      <c r="N60" s="136" t="s">
        <v>33</v>
      </c>
      <c r="O60" s="136" t="s">
        <v>382</v>
      </c>
      <c r="P60" s="137" t="s">
        <v>83</v>
      </c>
      <c r="Q60" s="136" t="s">
        <v>33</v>
      </c>
      <c r="R60" s="136" t="s">
        <v>33</v>
      </c>
      <c r="S60" s="137" t="s">
        <v>383</v>
      </c>
      <c r="T60" s="136" t="s">
        <v>40</v>
      </c>
      <c r="U60" s="136" t="s">
        <v>40</v>
      </c>
      <c r="V60" s="136" t="s">
        <v>33</v>
      </c>
      <c r="W60" s="136" t="s">
        <v>41</v>
      </c>
      <c r="X60" s="136" t="s">
        <v>40</v>
      </c>
      <c r="Y60" s="136" t="s">
        <v>33</v>
      </c>
      <c r="Z60" s="136" t="s">
        <v>33</v>
      </c>
      <c r="AA60" s="136" t="s">
        <v>33</v>
      </c>
      <c r="AB60" s="136" t="s">
        <v>33</v>
      </c>
      <c r="AC60" s="136"/>
      <c r="AD60">
        <v>5</v>
      </c>
      <c r="AE60" s="136" t="s">
        <v>42</v>
      </c>
    </row>
    <row r="61" spans="1:31" x14ac:dyDescent="0.3">
      <c r="A61" s="139" t="s">
        <v>384</v>
      </c>
      <c r="B61" s="136" t="s">
        <v>385</v>
      </c>
      <c r="C61" s="136" t="s">
        <v>33</v>
      </c>
      <c r="D61" s="136" t="s">
        <v>386</v>
      </c>
      <c r="E61" s="137" t="s">
        <v>387</v>
      </c>
      <c r="F61" s="137" t="s">
        <v>58</v>
      </c>
      <c r="G61" s="137" t="s">
        <v>120</v>
      </c>
      <c r="H61" s="137" t="s">
        <v>35</v>
      </c>
      <c r="I61" s="137" t="s">
        <v>35</v>
      </c>
      <c r="J61" s="137" t="s">
        <v>35</v>
      </c>
      <c r="K61" s="137" t="s">
        <v>35</v>
      </c>
      <c r="L61" s="137" t="s">
        <v>35</v>
      </c>
      <c r="M61" s="136" t="s">
        <v>46</v>
      </c>
      <c r="N61" s="136" t="s">
        <v>33</v>
      </c>
      <c r="O61" s="136" t="s">
        <v>388</v>
      </c>
      <c r="P61" s="137" t="s">
        <v>83</v>
      </c>
      <c r="Q61" s="136" t="s">
        <v>33</v>
      </c>
      <c r="R61" s="136" t="s">
        <v>33</v>
      </c>
      <c r="S61" s="137" t="s">
        <v>389</v>
      </c>
      <c r="T61" s="136" t="s">
        <v>40</v>
      </c>
      <c r="U61" s="136" t="s">
        <v>40</v>
      </c>
      <c r="V61" s="136" t="s">
        <v>33</v>
      </c>
      <c r="W61" s="136" t="s">
        <v>41</v>
      </c>
      <c r="X61" s="136" t="s">
        <v>40</v>
      </c>
      <c r="Y61" s="136" t="s">
        <v>33</v>
      </c>
      <c r="Z61" s="136" t="s">
        <v>33</v>
      </c>
      <c r="AA61" s="136" t="s">
        <v>33</v>
      </c>
      <c r="AB61" s="136" t="s">
        <v>33</v>
      </c>
      <c r="AC61" s="136"/>
      <c r="AD61">
        <v>5</v>
      </c>
      <c r="AE61" s="136" t="s">
        <v>42</v>
      </c>
    </row>
    <row r="62" spans="1:31" x14ac:dyDescent="0.3">
      <c r="A62" s="139" t="s">
        <v>390</v>
      </c>
      <c r="B62" s="136" t="s">
        <v>391</v>
      </c>
      <c r="C62" s="136" t="s">
        <v>40</v>
      </c>
      <c r="D62" s="136" t="s">
        <v>392</v>
      </c>
      <c r="E62" s="137" t="s">
        <v>393</v>
      </c>
      <c r="F62" s="137" t="s">
        <v>394</v>
      </c>
      <c r="G62" s="137" t="s">
        <v>395</v>
      </c>
      <c r="H62" s="137" t="s">
        <v>396</v>
      </c>
      <c r="I62" s="137" t="s">
        <v>35</v>
      </c>
      <c r="J62" s="137" t="s">
        <v>35</v>
      </c>
      <c r="K62" s="137" t="s">
        <v>35</v>
      </c>
      <c r="L62" s="137" t="s">
        <v>35</v>
      </c>
      <c r="M62" s="136" t="s">
        <v>46</v>
      </c>
      <c r="N62" s="136" t="s">
        <v>33</v>
      </c>
      <c r="O62" s="136" t="s">
        <v>388</v>
      </c>
      <c r="P62" s="137" t="s">
        <v>38</v>
      </c>
      <c r="Q62" s="136" t="s">
        <v>33</v>
      </c>
      <c r="R62" s="136" t="s">
        <v>33</v>
      </c>
      <c r="S62" s="137" t="s">
        <v>397</v>
      </c>
      <c r="T62" s="136" t="s">
        <v>40</v>
      </c>
      <c r="U62" s="136" t="s">
        <v>40</v>
      </c>
      <c r="V62" s="136" t="s">
        <v>33</v>
      </c>
      <c r="W62" s="136" t="s">
        <v>41</v>
      </c>
      <c r="X62" s="136" t="s">
        <v>40</v>
      </c>
      <c r="Y62" s="136" t="s">
        <v>33</v>
      </c>
      <c r="Z62" s="136" t="s">
        <v>33</v>
      </c>
      <c r="AA62" s="136" t="s">
        <v>33</v>
      </c>
      <c r="AB62" s="136" t="s">
        <v>33</v>
      </c>
      <c r="AC62" s="136"/>
      <c r="AD62">
        <v>5</v>
      </c>
      <c r="AE62" s="136" t="s">
        <v>42</v>
      </c>
    </row>
    <row r="63" spans="1:31" x14ac:dyDescent="0.3">
      <c r="A63" s="139" t="s">
        <v>398</v>
      </c>
      <c r="B63" s="136" t="s">
        <v>399</v>
      </c>
      <c r="C63" s="136" t="s">
        <v>40</v>
      </c>
      <c r="D63" s="136" t="s">
        <v>400</v>
      </c>
      <c r="E63" s="137" t="s">
        <v>401</v>
      </c>
      <c r="F63" s="137" t="s">
        <v>172</v>
      </c>
      <c r="G63" s="137" t="s">
        <v>402</v>
      </c>
      <c r="H63" s="137" t="s">
        <v>403</v>
      </c>
      <c r="I63" s="137" t="s">
        <v>35</v>
      </c>
      <c r="J63" s="137" t="s">
        <v>35</v>
      </c>
      <c r="K63" s="137" t="s">
        <v>35</v>
      </c>
      <c r="L63" s="137" t="s">
        <v>35</v>
      </c>
      <c r="M63" s="136" t="s">
        <v>46</v>
      </c>
      <c r="N63" s="136" t="s">
        <v>33</v>
      </c>
      <c r="O63" s="136" t="s">
        <v>404</v>
      </c>
      <c r="P63" s="137" t="s">
        <v>38</v>
      </c>
      <c r="Q63" s="136" t="s">
        <v>33</v>
      </c>
      <c r="R63" s="136" t="s">
        <v>33</v>
      </c>
      <c r="S63" s="137" t="s">
        <v>405</v>
      </c>
      <c r="T63" s="136" t="s">
        <v>40</v>
      </c>
      <c r="U63" s="136" t="s">
        <v>40</v>
      </c>
      <c r="V63" s="136" t="s">
        <v>33</v>
      </c>
      <c r="W63" s="136" t="s">
        <v>41</v>
      </c>
      <c r="X63" s="136" t="s">
        <v>40</v>
      </c>
      <c r="Y63" s="136" t="s">
        <v>33</v>
      </c>
      <c r="Z63" s="136" t="s">
        <v>33</v>
      </c>
      <c r="AA63" s="136" t="s">
        <v>33</v>
      </c>
      <c r="AB63" s="136" t="s">
        <v>40</v>
      </c>
      <c r="AC63" s="136"/>
      <c r="AD63">
        <v>5</v>
      </c>
      <c r="AE63" s="136" t="s">
        <v>42</v>
      </c>
    </row>
    <row r="64" spans="1:31" x14ac:dyDescent="0.3">
      <c r="A64" s="139" t="s">
        <v>406</v>
      </c>
      <c r="B64" s="136" t="s">
        <v>407</v>
      </c>
      <c r="C64" s="136" t="s">
        <v>33</v>
      </c>
      <c r="D64" s="136" t="s">
        <v>408</v>
      </c>
      <c r="E64" s="137" t="s">
        <v>409</v>
      </c>
      <c r="F64" s="137" t="s">
        <v>180</v>
      </c>
      <c r="G64" s="137" t="s">
        <v>196</v>
      </c>
      <c r="H64" s="137" t="s">
        <v>182</v>
      </c>
      <c r="I64" s="137" t="s">
        <v>35</v>
      </c>
      <c r="J64" s="137" t="s">
        <v>35</v>
      </c>
      <c r="K64" s="137" t="s">
        <v>35</v>
      </c>
      <c r="L64" s="137" t="s">
        <v>35</v>
      </c>
      <c r="M64" s="136" t="s">
        <v>46</v>
      </c>
      <c r="N64" s="136" t="s">
        <v>33</v>
      </c>
      <c r="O64" s="136" t="s">
        <v>97</v>
      </c>
      <c r="P64" s="137" t="s">
        <v>38</v>
      </c>
      <c r="Q64" s="136" t="s">
        <v>33</v>
      </c>
      <c r="R64" s="136" t="s">
        <v>33</v>
      </c>
      <c r="S64" s="137" t="s">
        <v>410</v>
      </c>
      <c r="T64" s="136" t="s">
        <v>40</v>
      </c>
      <c r="U64" s="136" t="s">
        <v>40</v>
      </c>
      <c r="V64" s="136" t="s">
        <v>33</v>
      </c>
      <c r="W64" s="136" t="s">
        <v>41</v>
      </c>
      <c r="X64" s="136" t="s">
        <v>40</v>
      </c>
      <c r="Y64" s="136" t="s">
        <v>33</v>
      </c>
      <c r="Z64" s="136" t="s">
        <v>33</v>
      </c>
      <c r="AA64" s="136" t="s">
        <v>33</v>
      </c>
      <c r="AB64" s="136" t="s">
        <v>33</v>
      </c>
      <c r="AC64" s="136"/>
      <c r="AD64">
        <v>5</v>
      </c>
      <c r="AE64" s="136" t="s">
        <v>42</v>
      </c>
    </row>
    <row r="65" spans="1:31" x14ac:dyDescent="0.3">
      <c r="A65" s="139" t="s">
        <v>411</v>
      </c>
      <c r="B65" s="136" t="s">
        <v>412</v>
      </c>
      <c r="C65" s="136" t="s">
        <v>40</v>
      </c>
      <c r="D65" s="136" t="s">
        <v>413</v>
      </c>
      <c r="E65" s="137" t="s">
        <v>414</v>
      </c>
      <c r="F65" s="137" t="s">
        <v>415</v>
      </c>
      <c r="G65" s="137" t="s">
        <v>416</v>
      </c>
      <c r="H65" s="137" t="s">
        <v>417</v>
      </c>
      <c r="I65" s="137" t="s">
        <v>35</v>
      </c>
      <c r="J65" s="137" t="s">
        <v>35</v>
      </c>
      <c r="K65" s="137" t="s">
        <v>35</v>
      </c>
      <c r="L65" s="137" t="s">
        <v>35</v>
      </c>
      <c r="M65" s="136" t="s">
        <v>46</v>
      </c>
      <c r="N65" s="136" t="s">
        <v>33</v>
      </c>
      <c r="O65" s="136" t="s">
        <v>97</v>
      </c>
      <c r="P65" s="137" t="s">
        <v>38</v>
      </c>
      <c r="Q65" s="136" t="s">
        <v>33</v>
      </c>
      <c r="R65" s="136" t="s">
        <v>33</v>
      </c>
      <c r="S65" s="137" t="s">
        <v>418</v>
      </c>
      <c r="T65" s="136" t="s">
        <v>40</v>
      </c>
      <c r="U65" s="136" t="s">
        <v>40</v>
      </c>
      <c r="V65" s="136" t="s">
        <v>33</v>
      </c>
      <c r="W65" s="136" t="s">
        <v>41</v>
      </c>
      <c r="X65" s="136" t="s">
        <v>33</v>
      </c>
      <c r="Y65" s="136" t="s">
        <v>33</v>
      </c>
      <c r="Z65" s="136" t="s">
        <v>33</v>
      </c>
      <c r="AA65" s="136" t="s">
        <v>33</v>
      </c>
      <c r="AB65" s="136" t="s">
        <v>33</v>
      </c>
      <c r="AC65" s="136" t="s">
        <v>49</v>
      </c>
      <c r="AD65">
        <v>4</v>
      </c>
      <c r="AE65" s="136" t="s">
        <v>50</v>
      </c>
    </row>
    <row r="66" spans="1:31" x14ac:dyDescent="0.3">
      <c r="A66" s="139" t="s">
        <v>419</v>
      </c>
      <c r="B66" s="136" t="s">
        <v>420</v>
      </c>
      <c r="C66" s="136" t="s">
        <v>40</v>
      </c>
      <c r="D66" s="136" t="s">
        <v>421</v>
      </c>
      <c r="E66" s="137" t="s">
        <v>422</v>
      </c>
      <c r="F66" s="137" t="s">
        <v>58</v>
      </c>
      <c r="G66" s="137" t="s">
        <v>59</v>
      </c>
      <c r="H66" s="137" t="s">
        <v>423</v>
      </c>
      <c r="I66" s="137" t="s">
        <v>35</v>
      </c>
      <c r="J66" s="137" t="s">
        <v>35</v>
      </c>
      <c r="K66" s="137" t="s">
        <v>35</v>
      </c>
      <c r="L66" s="137" t="s">
        <v>35</v>
      </c>
      <c r="M66" s="136" t="s">
        <v>46</v>
      </c>
      <c r="N66" s="136" t="s">
        <v>33</v>
      </c>
      <c r="O66" s="136" t="s">
        <v>97</v>
      </c>
      <c r="P66" s="137" t="s">
        <v>38</v>
      </c>
      <c r="Q66" s="136" t="s">
        <v>33</v>
      </c>
      <c r="R66" s="136" t="s">
        <v>33</v>
      </c>
      <c r="S66" s="137" t="s">
        <v>424</v>
      </c>
      <c r="T66" s="136" t="s">
        <v>40</v>
      </c>
      <c r="U66" s="136" t="s">
        <v>40</v>
      </c>
      <c r="V66" s="136" t="s">
        <v>33</v>
      </c>
      <c r="W66" s="136" t="s">
        <v>41</v>
      </c>
      <c r="X66" s="136" t="s">
        <v>40</v>
      </c>
      <c r="Y66" s="136" t="s">
        <v>33</v>
      </c>
      <c r="Z66" s="136" t="s">
        <v>33</v>
      </c>
      <c r="AA66" s="136" t="s">
        <v>33</v>
      </c>
      <c r="AB66" s="136" t="s">
        <v>33</v>
      </c>
      <c r="AC66" s="136"/>
      <c r="AD66">
        <v>5</v>
      </c>
      <c r="AE66" s="136" t="s">
        <v>42</v>
      </c>
    </row>
    <row r="67" spans="1:31" x14ac:dyDescent="0.3">
      <c r="A67" s="139" t="s">
        <v>425</v>
      </c>
      <c r="B67" s="136" t="s">
        <v>426</v>
      </c>
      <c r="C67" s="136" t="s">
        <v>40</v>
      </c>
      <c r="D67" s="136" t="s">
        <v>427</v>
      </c>
      <c r="E67" s="137" t="s">
        <v>428</v>
      </c>
      <c r="F67" s="137" t="s">
        <v>415</v>
      </c>
      <c r="G67" s="137" t="s">
        <v>429</v>
      </c>
      <c r="H67" s="137" t="s">
        <v>430</v>
      </c>
      <c r="I67" s="137" t="s">
        <v>35</v>
      </c>
      <c r="J67" s="137" t="s">
        <v>35</v>
      </c>
      <c r="K67" s="137" t="s">
        <v>35</v>
      </c>
      <c r="L67" s="137" t="s">
        <v>35</v>
      </c>
      <c r="M67" s="136" t="s">
        <v>46</v>
      </c>
      <c r="N67" s="136" t="s">
        <v>40</v>
      </c>
      <c r="O67" s="136" t="s">
        <v>388</v>
      </c>
      <c r="P67" s="137" t="s">
        <v>38</v>
      </c>
      <c r="Q67" s="136" t="s">
        <v>33</v>
      </c>
      <c r="R67" s="136" t="s">
        <v>33</v>
      </c>
      <c r="S67" s="137" t="s">
        <v>431</v>
      </c>
      <c r="T67" s="136" t="s">
        <v>40</v>
      </c>
      <c r="U67" s="136" t="s">
        <v>40</v>
      </c>
      <c r="V67" s="136" t="s">
        <v>33</v>
      </c>
      <c r="W67" s="136" t="s">
        <v>41</v>
      </c>
      <c r="X67" s="136" t="s">
        <v>40</v>
      </c>
      <c r="Y67" s="136" t="s">
        <v>33</v>
      </c>
      <c r="Z67" s="136" t="s">
        <v>33</v>
      </c>
      <c r="AA67" s="136" t="s">
        <v>33</v>
      </c>
      <c r="AB67" s="136" t="s">
        <v>33</v>
      </c>
      <c r="AC67" s="136" t="s">
        <v>49</v>
      </c>
      <c r="AD67">
        <v>4</v>
      </c>
      <c r="AE67" s="136" t="s">
        <v>50</v>
      </c>
    </row>
    <row r="68" spans="1:31" x14ac:dyDescent="0.3">
      <c r="A68" s="139" t="s">
        <v>432</v>
      </c>
      <c r="B68" s="136" t="s">
        <v>433</v>
      </c>
      <c r="C68" s="136" t="s">
        <v>33</v>
      </c>
      <c r="D68" s="136" t="s">
        <v>434</v>
      </c>
      <c r="E68" s="137" t="s">
        <v>435</v>
      </c>
      <c r="F68" s="137" t="s">
        <v>172</v>
      </c>
      <c r="G68" s="137" t="s">
        <v>173</v>
      </c>
      <c r="H68" s="137" t="s">
        <v>436</v>
      </c>
      <c r="I68" s="137" t="s">
        <v>35</v>
      </c>
      <c r="J68" s="137" t="s">
        <v>35</v>
      </c>
      <c r="K68" s="137" t="s">
        <v>35</v>
      </c>
      <c r="L68" s="137" t="s">
        <v>35</v>
      </c>
      <c r="M68" s="136" t="s">
        <v>46</v>
      </c>
      <c r="N68" s="136" t="s">
        <v>33</v>
      </c>
      <c r="O68" s="136" t="s">
        <v>69</v>
      </c>
      <c r="P68" s="137" t="s">
        <v>89</v>
      </c>
      <c r="Q68" s="136" t="s">
        <v>33</v>
      </c>
      <c r="R68" s="136" t="s">
        <v>33</v>
      </c>
      <c r="S68" s="137" t="s">
        <v>35</v>
      </c>
      <c r="T68" s="136" t="s">
        <v>40</v>
      </c>
      <c r="U68" s="136" t="s">
        <v>40</v>
      </c>
      <c r="V68" s="136" t="s">
        <v>33</v>
      </c>
      <c r="W68" s="136" t="s">
        <v>41</v>
      </c>
      <c r="X68" s="136" t="s">
        <v>40</v>
      </c>
      <c r="Y68" s="136" t="s">
        <v>33</v>
      </c>
      <c r="Z68" s="136" t="s">
        <v>33</v>
      </c>
      <c r="AA68" s="136" t="s">
        <v>33</v>
      </c>
      <c r="AB68" s="136" t="s">
        <v>33</v>
      </c>
      <c r="AC68" s="136" t="s">
        <v>437</v>
      </c>
      <c r="AD68">
        <v>4</v>
      </c>
      <c r="AE68" s="136" t="s">
        <v>50</v>
      </c>
    </row>
    <row r="69" spans="1:31" x14ac:dyDescent="0.3">
      <c r="A69" s="139" t="s">
        <v>438</v>
      </c>
      <c r="B69" s="136" t="s">
        <v>439</v>
      </c>
      <c r="C69" s="136" t="s">
        <v>40</v>
      </c>
      <c r="D69" s="136" t="s">
        <v>440</v>
      </c>
      <c r="E69" s="137" t="s">
        <v>441</v>
      </c>
      <c r="F69" s="137" t="s">
        <v>127</v>
      </c>
      <c r="G69" s="137" t="s">
        <v>165</v>
      </c>
      <c r="H69" s="137" t="s">
        <v>442</v>
      </c>
      <c r="I69" s="137" t="s">
        <v>35</v>
      </c>
      <c r="J69" s="137" t="s">
        <v>35</v>
      </c>
      <c r="K69" s="137" t="s">
        <v>35</v>
      </c>
      <c r="L69" s="137" t="s">
        <v>35</v>
      </c>
      <c r="M69" s="136" t="s">
        <v>36</v>
      </c>
      <c r="N69" s="136" t="s">
        <v>33</v>
      </c>
      <c r="O69" s="136" t="s">
        <v>374</v>
      </c>
      <c r="P69" s="137" t="s">
        <v>38</v>
      </c>
      <c r="Q69" s="136" t="s">
        <v>33</v>
      </c>
      <c r="R69" s="136" t="s">
        <v>33</v>
      </c>
      <c r="S69" s="137" t="s">
        <v>443</v>
      </c>
      <c r="T69" s="136" t="s">
        <v>40</v>
      </c>
      <c r="U69" s="136" t="s">
        <v>40</v>
      </c>
      <c r="V69" s="136" t="s">
        <v>33</v>
      </c>
      <c r="W69" s="136" t="s">
        <v>41</v>
      </c>
      <c r="X69" s="136" t="s">
        <v>40</v>
      </c>
      <c r="Y69" s="136" t="s">
        <v>33</v>
      </c>
      <c r="Z69" s="136" t="s">
        <v>33</v>
      </c>
      <c r="AA69" s="136" t="s">
        <v>33</v>
      </c>
      <c r="AB69" s="136" t="s">
        <v>33</v>
      </c>
      <c r="AC69" s="136"/>
      <c r="AD69">
        <v>5</v>
      </c>
      <c r="AE69" s="136" t="s">
        <v>42</v>
      </c>
    </row>
    <row r="70" spans="1:31" x14ac:dyDescent="0.3">
      <c r="A70" t="s">
        <v>444</v>
      </c>
      <c r="B70" s="136" t="s">
        <v>445</v>
      </c>
      <c r="C70" s="136" t="s">
        <v>40</v>
      </c>
      <c r="D70" s="136" t="s">
        <v>446</v>
      </c>
      <c r="E70" s="137" t="s">
        <v>447</v>
      </c>
      <c r="F70" s="137" t="s">
        <v>143</v>
      </c>
      <c r="G70" s="137" t="s">
        <v>448</v>
      </c>
      <c r="H70" s="137" t="s">
        <v>449</v>
      </c>
      <c r="I70" s="137" t="s">
        <v>35</v>
      </c>
      <c r="J70" s="137" t="s">
        <v>35</v>
      </c>
      <c r="K70" s="137" t="s">
        <v>35</v>
      </c>
      <c r="L70" s="137" t="s">
        <v>35</v>
      </c>
      <c r="M70" s="136" t="s">
        <v>46</v>
      </c>
      <c r="N70" s="136" t="s">
        <v>33</v>
      </c>
      <c r="O70" s="136" t="s">
        <v>450</v>
      </c>
      <c r="P70" s="137" t="s">
        <v>38</v>
      </c>
      <c r="Q70" s="136" t="s">
        <v>33</v>
      </c>
      <c r="R70" s="136" t="s">
        <v>33</v>
      </c>
      <c r="S70" s="137" t="s">
        <v>35</v>
      </c>
      <c r="T70" s="136" t="s">
        <v>40</v>
      </c>
      <c r="U70" s="136" t="s">
        <v>40</v>
      </c>
      <c r="V70" s="136" t="s">
        <v>33</v>
      </c>
      <c r="W70" s="136" t="s">
        <v>41</v>
      </c>
      <c r="X70" s="136" t="s">
        <v>40</v>
      </c>
      <c r="Y70" s="136" t="s">
        <v>33</v>
      </c>
      <c r="Z70" s="136" t="s">
        <v>33</v>
      </c>
      <c r="AA70" s="136" t="s">
        <v>33</v>
      </c>
      <c r="AB70" s="136" t="s">
        <v>33</v>
      </c>
      <c r="AC70" s="136" t="s">
        <v>49</v>
      </c>
      <c r="AD70">
        <v>4</v>
      </c>
      <c r="AE70" s="136" t="s">
        <v>50</v>
      </c>
    </row>
    <row r="71" spans="1:31" x14ac:dyDescent="0.3">
      <c r="A71" t="s">
        <v>451</v>
      </c>
      <c r="B71" s="136" t="s">
        <v>452</v>
      </c>
      <c r="C71" s="136" t="s">
        <v>40</v>
      </c>
      <c r="D71" s="136" t="s">
        <v>453</v>
      </c>
      <c r="E71" s="137" t="s">
        <v>454</v>
      </c>
      <c r="F71" s="137" t="s">
        <v>455</v>
      </c>
      <c r="G71" s="137" t="s">
        <v>395</v>
      </c>
      <c r="H71" s="137" t="s">
        <v>456</v>
      </c>
      <c r="I71" s="137" t="s">
        <v>35</v>
      </c>
      <c r="J71" s="137" t="s">
        <v>35</v>
      </c>
      <c r="K71" s="137" t="s">
        <v>35</v>
      </c>
      <c r="L71" s="137" t="s">
        <v>35</v>
      </c>
      <c r="M71" s="136" t="s">
        <v>46</v>
      </c>
      <c r="N71" s="136" t="s">
        <v>33</v>
      </c>
      <c r="O71" s="136" t="s">
        <v>88</v>
      </c>
      <c r="P71" s="137" t="s">
        <v>89</v>
      </c>
      <c r="Q71" s="136" t="s">
        <v>33</v>
      </c>
      <c r="R71" s="136" t="s">
        <v>33</v>
      </c>
      <c r="S71" s="137" t="s">
        <v>457</v>
      </c>
      <c r="T71" s="136" t="s">
        <v>40</v>
      </c>
      <c r="U71" s="136" t="s">
        <v>40</v>
      </c>
      <c r="V71" s="136" t="s">
        <v>33</v>
      </c>
      <c r="W71" s="136" t="s">
        <v>41</v>
      </c>
      <c r="X71" s="136" t="s">
        <v>40</v>
      </c>
      <c r="Y71" s="136" t="s">
        <v>33</v>
      </c>
      <c r="Z71" s="136" t="s">
        <v>33</v>
      </c>
      <c r="AA71" s="136" t="s">
        <v>33</v>
      </c>
      <c r="AB71" s="136" t="s">
        <v>33</v>
      </c>
      <c r="AC71" s="136"/>
      <c r="AD71">
        <v>5</v>
      </c>
      <c r="AE71" s="136" t="s">
        <v>42</v>
      </c>
    </row>
    <row r="72" spans="1:31" x14ac:dyDescent="0.3">
      <c r="A72" s="136" t="s">
        <v>458</v>
      </c>
      <c r="B72" s="136" t="s">
        <v>459</v>
      </c>
      <c r="C72" s="136" t="s">
        <v>40</v>
      </c>
      <c r="D72" s="136" t="s">
        <v>460</v>
      </c>
      <c r="E72" s="136" t="s">
        <v>461</v>
      </c>
      <c r="F72" s="136" t="s">
        <v>172</v>
      </c>
      <c r="G72" s="136" t="s">
        <v>462</v>
      </c>
      <c r="H72" s="136" t="s">
        <v>463</v>
      </c>
      <c r="I72" s="137" t="s">
        <v>35</v>
      </c>
      <c r="J72" s="137" t="s">
        <v>35</v>
      </c>
      <c r="K72" s="137" t="s">
        <v>35</v>
      </c>
      <c r="L72" s="137" t="s">
        <v>35</v>
      </c>
      <c r="M72" s="136" t="s">
        <v>46</v>
      </c>
      <c r="N72" s="136" t="s">
        <v>33</v>
      </c>
      <c r="O72" s="136" t="s">
        <v>79</v>
      </c>
      <c r="P72" s="137" t="s">
        <v>38</v>
      </c>
      <c r="Q72" s="136" t="s">
        <v>33</v>
      </c>
      <c r="R72" s="136" t="s">
        <v>33</v>
      </c>
      <c r="S72" s="137" t="s">
        <v>464</v>
      </c>
      <c r="T72" s="136" t="s">
        <v>40</v>
      </c>
      <c r="U72" s="136" t="s">
        <v>40</v>
      </c>
      <c r="V72" s="136" t="s">
        <v>33</v>
      </c>
      <c r="W72" s="136" t="s">
        <v>41</v>
      </c>
      <c r="X72" s="136" t="s">
        <v>40</v>
      </c>
      <c r="Y72" s="136" t="s">
        <v>33</v>
      </c>
      <c r="Z72" s="136" t="s">
        <v>33</v>
      </c>
      <c r="AA72" s="136" t="s">
        <v>33</v>
      </c>
      <c r="AB72" s="136" t="s">
        <v>33</v>
      </c>
      <c r="AC72" s="136" t="s">
        <v>49</v>
      </c>
      <c r="AD72">
        <v>4</v>
      </c>
      <c r="AE72" s="136" t="s">
        <v>50</v>
      </c>
    </row>
    <row r="73" spans="1:31" x14ac:dyDescent="0.3">
      <c r="A73" s="136" t="s">
        <v>465</v>
      </c>
      <c r="B73" s="136" t="s">
        <v>466</v>
      </c>
      <c r="C73" s="136" t="s">
        <v>40</v>
      </c>
      <c r="D73" s="136" t="s">
        <v>467</v>
      </c>
      <c r="E73" s="137" t="s">
        <v>461</v>
      </c>
      <c r="F73" s="137" t="s">
        <v>172</v>
      </c>
      <c r="G73" s="137" t="s">
        <v>173</v>
      </c>
      <c r="H73" s="137" t="s">
        <v>468</v>
      </c>
      <c r="I73" s="137" t="s">
        <v>35</v>
      </c>
      <c r="J73" s="137" t="s">
        <v>35</v>
      </c>
      <c r="K73" s="137" t="s">
        <v>35</v>
      </c>
      <c r="L73" s="137" t="s">
        <v>35</v>
      </c>
      <c r="M73" s="136" t="s">
        <v>36</v>
      </c>
      <c r="N73" s="136" t="s">
        <v>33</v>
      </c>
      <c r="O73" s="136" t="s">
        <v>152</v>
      </c>
      <c r="P73" s="137" t="s">
        <v>89</v>
      </c>
      <c r="Q73" s="136" t="s">
        <v>33</v>
      </c>
      <c r="R73" s="136" t="s">
        <v>33</v>
      </c>
      <c r="S73" s="137" t="s">
        <v>469</v>
      </c>
      <c r="T73" s="136" t="s">
        <v>40</v>
      </c>
      <c r="U73" s="136" t="s">
        <v>40</v>
      </c>
      <c r="V73" s="136" t="s">
        <v>33</v>
      </c>
      <c r="W73" s="136" t="s">
        <v>41</v>
      </c>
      <c r="X73" s="136" t="s">
        <v>40</v>
      </c>
      <c r="Y73" s="136" t="s">
        <v>33</v>
      </c>
      <c r="Z73" s="136" t="s">
        <v>33</v>
      </c>
      <c r="AA73" s="136" t="s">
        <v>33</v>
      </c>
      <c r="AB73" s="136" t="s">
        <v>33</v>
      </c>
      <c r="AC73" s="136" t="s">
        <v>49</v>
      </c>
      <c r="AD73">
        <v>4</v>
      </c>
      <c r="AE73" s="136" t="s">
        <v>50</v>
      </c>
    </row>
    <row r="74" spans="1:31" x14ac:dyDescent="0.3">
      <c r="A74" s="136" t="s">
        <v>66</v>
      </c>
      <c r="B74" s="136" t="s">
        <v>67</v>
      </c>
      <c r="C74" s="136" t="s">
        <v>40</v>
      </c>
      <c r="D74" s="136" t="s">
        <v>470</v>
      </c>
      <c r="E74" s="137" t="s">
        <v>471</v>
      </c>
      <c r="F74" s="137" t="s">
        <v>127</v>
      </c>
      <c r="G74" s="137" t="s">
        <v>380</v>
      </c>
      <c r="H74" s="137" t="s">
        <v>472</v>
      </c>
      <c r="I74" s="137" t="s">
        <v>35</v>
      </c>
      <c r="J74" s="137" t="s">
        <v>35</v>
      </c>
      <c r="K74" s="137" t="s">
        <v>35</v>
      </c>
      <c r="L74" s="137" t="s">
        <v>35</v>
      </c>
      <c r="M74" s="136" t="s">
        <v>36</v>
      </c>
      <c r="N74" s="136" t="s">
        <v>33</v>
      </c>
      <c r="O74" s="136" t="s">
        <v>374</v>
      </c>
      <c r="P74" s="137" t="s">
        <v>70</v>
      </c>
      <c r="Q74" s="136" t="s">
        <v>33</v>
      </c>
      <c r="R74" s="136" t="s">
        <v>33</v>
      </c>
      <c r="S74" s="137" t="s">
        <v>473</v>
      </c>
      <c r="T74" s="136" t="s">
        <v>40</v>
      </c>
      <c r="U74" s="136" t="s">
        <v>40</v>
      </c>
      <c r="V74" s="136" t="s">
        <v>33</v>
      </c>
      <c r="W74" s="136" t="s">
        <v>41</v>
      </c>
      <c r="X74" s="136" t="s">
        <v>40</v>
      </c>
      <c r="Y74" s="136" t="s">
        <v>33</v>
      </c>
      <c r="Z74" s="136" t="s">
        <v>33</v>
      </c>
      <c r="AA74" s="136" t="s">
        <v>33</v>
      </c>
      <c r="AB74" s="136" t="s">
        <v>33</v>
      </c>
      <c r="AC74" s="136"/>
      <c r="AD74">
        <v>5</v>
      </c>
      <c r="AE74" s="136" t="s">
        <v>42</v>
      </c>
    </row>
    <row r="75" spans="1:31" x14ac:dyDescent="0.3">
      <c r="A75" s="136" t="s">
        <v>474</v>
      </c>
      <c r="B75" s="136" t="s">
        <v>475</v>
      </c>
      <c r="C75" s="136" t="s">
        <v>40</v>
      </c>
      <c r="D75" s="136" t="s">
        <v>476</v>
      </c>
      <c r="E75" s="136" t="s">
        <v>477</v>
      </c>
      <c r="F75" s="136" t="s">
        <v>143</v>
      </c>
      <c r="G75" s="136" t="s">
        <v>478</v>
      </c>
      <c r="H75" s="136" t="s">
        <v>479</v>
      </c>
      <c r="I75" s="137" t="s">
        <v>35</v>
      </c>
      <c r="J75" s="137" t="s">
        <v>35</v>
      </c>
      <c r="K75" s="137" t="s">
        <v>35</v>
      </c>
      <c r="L75" s="137" t="s">
        <v>35</v>
      </c>
      <c r="M75" s="136" t="s">
        <v>36</v>
      </c>
      <c r="N75" s="136" t="s">
        <v>33</v>
      </c>
      <c r="O75" s="136" t="s">
        <v>64</v>
      </c>
      <c r="P75" s="137" t="s">
        <v>38</v>
      </c>
      <c r="Q75" s="136" t="s">
        <v>33</v>
      </c>
      <c r="R75" s="136" t="s">
        <v>33</v>
      </c>
      <c r="S75" s="137" t="s">
        <v>480</v>
      </c>
      <c r="T75" s="136" t="s">
        <v>40</v>
      </c>
      <c r="U75" s="136" t="s">
        <v>40</v>
      </c>
      <c r="V75" s="136" t="s">
        <v>33</v>
      </c>
      <c r="W75" s="136" t="s">
        <v>41</v>
      </c>
      <c r="X75" s="136" t="s">
        <v>40</v>
      </c>
      <c r="Y75" s="136" t="s">
        <v>33</v>
      </c>
      <c r="Z75" s="136" t="s">
        <v>33</v>
      </c>
      <c r="AA75" s="136" t="s">
        <v>33</v>
      </c>
      <c r="AB75" s="136" t="s">
        <v>33</v>
      </c>
      <c r="AC75" s="136" t="s">
        <v>49</v>
      </c>
      <c r="AD75">
        <v>4</v>
      </c>
      <c r="AE75" s="136" t="s">
        <v>50</v>
      </c>
    </row>
    <row r="76" spans="1:31" x14ac:dyDescent="0.3">
      <c r="A76" s="136" t="s">
        <v>481</v>
      </c>
      <c r="B76" s="136" t="s">
        <v>482</v>
      </c>
      <c r="C76" s="136" t="s">
        <v>40</v>
      </c>
      <c r="D76" s="136" t="s">
        <v>483</v>
      </c>
      <c r="E76" s="137" t="s">
        <v>484</v>
      </c>
      <c r="F76" s="137" t="s">
        <v>172</v>
      </c>
      <c r="G76" s="137" t="s">
        <v>173</v>
      </c>
      <c r="H76" s="137" t="s">
        <v>485</v>
      </c>
      <c r="I76" s="137" t="s">
        <v>35</v>
      </c>
      <c r="J76" s="137" t="s">
        <v>35</v>
      </c>
      <c r="K76" s="137" t="s">
        <v>35</v>
      </c>
      <c r="L76" s="137" t="s">
        <v>35</v>
      </c>
      <c r="M76" s="136" t="s">
        <v>36</v>
      </c>
      <c r="N76" s="136" t="s">
        <v>33</v>
      </c>
      <c r="O76" s="136" t="s">
        <v>64</v>
      </c>
      <c r="P76" s="137" t="s">
        <v>38</v>
      </c>
      <c r="Q76" s="136" t="s">
        <v>33</v>
      </c>
      <c r="R76" s="136" t="s">
        <v>33</v>
      </c>
      <c r="S76" s="137" t="s">
        <v>486</v>
      </c>
      <c r="T76" s="136" t="s">
        <v>40</v>
      </c>
      <c r="U76" s="136" t="s">
        <v>40</v>
      </c>
      <c r="V76" s="136" t="s">
        <v>33</v>
      </c>
      <c r="W76" s="136" t="s">
        <v>41</v>
      </c>
      <c r="X76" s="136" t="s">
        <v>40</v>
      </c>
      <c r="Y76" s="136" t="s">
        <v>33</v>
      </c>
      <c r="Z76" s="136" t="s">
        <v>33</v>
      </c>
      <c r="AA76" s="136" t="s">
        <v>33</v>
      </c>
      <c r="AB76" s="136" t="s">
        <v>33</v>
      </c>
      <c r="AC76" s="136" t="s">
        <v>49</v>
      </c>
      <c r="AD76">
        <v>4</v>
      </c>
      <c r="AE76" s="136" t="s">
        <v>50</v>
      </c>
    </row>
    <row r="77" spans="1:31" x14ac:dyDescent="0.3">
      <c r="A77" s="136" t="s">
        <v>487</v>
      </c>
      <c r="B77" s="136" t="s">
        <v>488</v>
      </c>
      <c r="C77" s="136" t="s">
        <v>40</v>
      </c>
      <c r="D77" s="136" t="s">
        <v>489</v>
      </c>
      <c r="E77" s="137" t="s">
        <v>490</v>
      </c>
      <c r="F77" s="137" t="s">
        <v>172</v>
      </c>
      <c r="G77" s="137" t="s">
        <v>462</v>
      </c>
      <c r="H77" s="137" t="s">
        <v>491</v>
      </c>
      <c r="I77" s="137" t="s">
        <v>35</v>
      </c>
      <c r="J77" s="137" t="s">
        <v>35</v>
      </c>
      <c r="K77" s="137" t="s">
        <v>35</v>
      </c>
      <c r="L77" s="137" t="s">
        <v>35</v>
      </c>
      <c r="M77" s="136" t="s">
        <v>36</v>
      </c>
      <c r="N77" s="136" t="s">
        <v>33</v>
      </c>
      <c r="O77" s="136" t="s">
        <v>64</v>
      </c>
      <c r="P77" s="137" t="s">
        <v>89</v>
      </c>
      <c r="Q77" s="136" t="s">
        <v>33</v>
      </c>
      <c r="R77" s="136" t="s">
        <v>33</v>
      </c>
      <c r="S77" s="137" t="s">
        <v>492</v>
      </c>
      <c r="T77" s="136" t="s">
        <v>40</v>
      </c>
      <c r="U77" s="136" t="s">
        <v>40</v>
      </c>
      <c r="V77" s="136" t="s">
        <v>33</v>
      </c>
      <c r="W77" s="136" t="s">
        <v>41</v>
      </c>
      <c r="X77" s="136" t="s">
        <v>40</v>
      </c>
      <c r="Y77" s="136" t="s">
        <v>33</v>
      </c>
      <c r="Z77" s="136" t="s">
        <v>33</v>
      </c>
      <c r="AA77" s="136" t="s">
        <v>33</v>
      </c>
      <c r="AB77" s="136" t="s">
        <v>33</v>
      </c>
      <c r="AC77" s="136" t="s">
        <v>49</v>
      </c>
      <c r="AD77">
        <v>4</v>
      </c>
      <c r="AE77" s="136" t="s">
        <v>50</v>
      </c>
    </row>
    <row r="78" spans="1:31" x14ac:dyDescent="0.3">
      <c r="A78" s="136" t="s">
        <v>493</v>
      </c>
      <c r="B78" s="136" t="s">
        <v>494</v>
      </c>
      <c r="C78" s="136" t="s">
        <v>40</v>
      </c>
      <c r="D78" s="136" t="s">
        <v>495</v>
      </c>
      <c r="E78" s="136" t="s">
        <v>496</v>
      </c>
      <c r="F78" s="136" t="s">
        <v>172</v>
      </c>
      <c r="G78" s="136" t="s">
        <v>462</v>
      </c>
      <c r="H78" s="136" t="s">
        <v>497</v>
      </c>
      <c r="I78" s="137" t="s">
        <v>35</v>
      </c>
      <c r="J78" s="137" t="s">
        <v>35</v>
      </c>
      <c r="K78" s="137" t="s">
        <v>35</v>
      </c>
      <c r="L78" s="137" t="s">
        <v>35</v>
      </c>
      <c r="M78" s="136" t="s">
        <v>36</v>
      </c>
      <c r="N78" s="136" t="s">
        <v>33</v>
      </c>
      <c r="O78" s="136" t="s">
        <v>64</v>
      </c>
      <c r="P78" s="137" t="s">
        <v>38</v>
      </c>
      <c r="Q78" s="136" t="s">
        <v>33</v>
      </c>
      <c r="R78" s="136" t="s">
        <v>33</v>
      </c>
      <c r="S78" s="137" t="s">
        <v>498</v>
      </c>
      <c r="T78" s="136" t="s">
        <v>40</v>
      </c>
      <c r="U78" s="136" t="s">
        <v>40</v>
      </c>
      <c r="V78" s="136" t="s">
        <v>33</v>
      </c>
      <c r="W78" s="136" t="s">
        <v>41</v>
      </c>
      <c r="X78" s="136" t="s">
        <v>40</v>
      </c>
      <c r="Y78" s="136" t="s">
        <v>33</v>
      </c>
      <c r="Z78" s="136" t="s">
        <v>33</v>
      </c>
      <c r="AA78" s="136" t="s">
        <v>33</v>
      </c>
      <c r="AB78" s="136" t="s">
        <v>33</v>
      </c>
      <c r="AC78" s="136"/>
      <c r="AD78">
        <v>5</v>
      </c>
      <c r="AE78" s="136" t="s">
        <v>42</v>
      </c>
    </row>
    <row r="79" spans="1:31" x14ac:dyDescent="0.3">
      <c r="A79" s="136" t="s">
        <v>499</v>
      </c>
      <c r="B79" s="136" t="s">
        <v>500</v>
      </c>
      <c r="C79" s="136" t="s">
        <v>40</v>
      </c>
      <c r="D79" s="136" t="s">
        <v>501</v>
      </c>
      <c r="E79" s="136" t="s">
        <v>502</v>
      </c>
      <c r="F79" s="136" t="s">
        <v>172</v>
      </c>
      <c r="G79" s="136" t="s">
        <v>462</v>
      </c>
      <c r="H79" s="136" t="s">
        <v>503</v>
      </c>
      <c r="I79" s="137" t="s">
        <v>35</v>
      </c>
      <c r="J79" s="137" t="s">
        <v>35</v>
      </c>
      <c r="K79" s="137" t="s">
        <v>35</v>
      </c>
      <c r="L79" s="137" t="s">
        <v>35</v>
      </c>
      <c r="M79" s="136" t="s">
        <v>36</v>
      </c>
      <c r="N79" s="136" t="s">
        <v>40</v>
      </c>
      <c r="O79" s="136" t="s">
        <v>374</v>
      </c>
      <c r="P79" s="137" t="s">
        <v>70</v>
      </c>
      <c r="Q79" s="136" t="s">
        <v>40</v>
      </c>
      <c r="R79" s="136" t="s">
        <v>33</v>
      </c>
      <c r="S79" s="137" t="s">
        <v>504</v>
      </c>
      <c r="T79" s="136" t="s">
        <v>40</v>
      </c>
      <c r="U79" s="136" t="s">
        <v>40</v>
      </c>
      <c r="V79" s="136" t="s">
        <v>33</v>
      </c>
      <c r="W79" s="136" t="s">
        <v>41</v>
      </c>
      <c r="X79" s="136" t="s">
        <v>40</v>
      </c>
      <c r="Y79" s="136" t="s">
        <v>33</v>
      </c>
      <c r="Z79" s="136" t="s">
        <v>33</v>
      </c>
      <c r="AA79" s="136" t="s">
        <v>33</v>
      </c>
      <c r="AB79" s="136" t="s">
        <v>33</v>
      </c>
      <c r="AC79" s="136"/>
      <c r="AD79">
        <v>5</v>
      </c>
      <c r="AE79" s="136" t="s">
        <v>42</v>
      </c>
    </row>
    <row r="80" spans="1:31" x14ac:dyDescent="0.3">
      <c r="A80" s="136" t="s">
        <v>505</v>
      </c>
      <c r="B80" s="136" t="s">
        <v>506</v>
      </c>
      <c r="C80" s="136" t="s">
        <v>40</v>
      </c>
      <c r="D80" s="136" t="s">
        <v>507</v>
      </c>
      <c r="E80" s="136" t="s">
        <v>508</v>
      </c>
      <c r="F80" s="137" t="s">
        <v>172</v>
      </c>
      <c r="G80" s="137" t="s">
        <v>173</v>
      </c>
      <c r="H80" s="137" t="s">
        <v>509</v>
      </c>
      <c r="I80" s="137" t="s">
        <v>35</v>
      </c>
      <c r="J80" s="137" t="s">
        <v>35</v>
      </c>
      <c r="K80" s="137" t="s">
        <v>35</v>
      </c>
      <c r="L80" s="137" t="s">
        <v>35</v>
      </c>
      <c r="M80" s="136" t="s">
        <v>36</v>
      </c>
      <c r="N80" s="136" t="s">
        <v>33</v>
      </c>
      <c r="O80" s="136" t="s">
        <v>374</v>
      </c>
      <c r="P80" s="137" t="s">
        <v>38</v>
      </c>
      <c r="Q80" s="136" t="s">
        <v>33</v>
      </c>
      <c r="R80" s="136" t="s">
        <v>33</v>
      </c>
      <c r="S80" s="137" t="s">
        <v>510</v>
      </c>
      <c r="T80" s="136" t="s">
        <v>40</v>
      </c>
      <c r="U80" s="136" t="s">
        <v>40</v>
      </c>
      <c r="V80" s="136" t="s">
        <v>33</v>
      </c>
      <c r="W80" s="136" t="s">
        <v>41</v>
      </c>
      <c r="X80" s="136" t="s">
        <v>40</v>
      </c>
      <c r="Y80" s="136" t="s">
        <v>33</v>
      </c>
      <c r="Z80" s="136" t="s">
        <v>33</v>
      </c>
      <c r="AA80" s="136" t="s">
        <v>33</v>
      </c>
      <c r="AB80" s="136" t="s">
        <v>33</v>
      </c>
      <c r="AC80" s="136"/>
      <c r="AD80">
        <v>5</v>
      </c>
      <c r="AE80" s="136" t="s">
        <v>42</v>
      </c>
    </row>
    <row r="81" spans="1:31" x14ac:dyDescent="0.3">
      <c r="A81" s="136" t="s">
        <v>511</v>
      </c>
      <c r="B81" s="136" t="s">
        <v>512</v>
      </c>
      <c r="C81" s="136" t="s">
        <v>40</v>
      </c>
      <c r="D81" s="136" t="s">
        <v>513</v>
      </c>
      <c r="E81" s="136" t="s">
        <v>514</v>
      </c>
      <c r="F81" s="136" t="s">
        <v>172</v>
      </c>
      <c r="G81" s="136" t="s">
        <v>173</v>
      </c>
      <c r="H81" s="136" t="s">
        <v>515</v>
      </c>
      <c r="I81" s="137" t="s">
        <v>35</v>
      </c>
      <c r="J81" s="137" t="s">
        <v>35</v>
      </c>
      <c r="K81" s="137" t="s">
        <v>35</v>
      </c>
      <c r="L81" s="137" t="s">
        <v>35</v>
      </c>
      <c r="M81" s="136" t="s">
        <v>36</v>
      </c>
      <c r="N81" s="136" t="s">
        <v>40</v>
      </c>
      <c r="O81" s="136" t="s">
        <v>64</v>
      </c>
      <c r="P81" s="137" t="s">
        <v>38</v>
      </c>
      <c r="Q81" s="136" t="s">
        <v>33</v>
      </c>
      <c r="R81" s="136" t="s">
        <v>33</v>
      </c>
      <c r="S81" s="137" t="s">
        <v>498</v>
      </c>
      <c r="T81" s="136" t="s">
        <v>40</v>
      </c>
      <c r="U81" s="136" t="s">
        <v>40</v>
      </c>
      <c r="V81" s="136" t="s">
        <v>33</v>
      </c>
      <c r="W81" s="136" t="s">
        <v>41</v>
      </c>
      <c r="X81" s="136" t="s">
        <v>40</v>
      </c>
      <c r="Y81" s="136" t="s">
        <v>33</v>
      </c>
      <c r="Z81" s="136" t="s">
        <v>33</v>
      </c>
      <c r="AA81" s="136" t="s">
        <v>33</v>
      </c>
      <c r="AB81" s="136" t="s">
        <v>33</v>
      </c>
      <c r="AC81" s="136"/>
      <c r="AD81">
        <v>5</v>
      </c>
      <c r="AE81" s="136" t="s">
        <v>42</v>
      </c>
    </row>
    <row r="82" spans="1:31" x14ac:dyDescent="0.3">
      <c r="A82" s="136" t="s">
        <v>516</v>
      </c>
      <c r="B82" s="136" t="s">
        <v>517</v>
      </c>
      <c r="C82" s="136" t="s">
        <v>40</v>
      </c>
      <c r="D82" s="136" t="s">
        <v>518</v>
      </c>
      <c r="E82" s="137" t="s">
        <v>519</v>
      </c>
      <c r="F82" s="137" t="s">
        <v>143</v>
      </c>
      <c r="G82" s="137" t="s">
        <v>372</v>
      </c>
      <c r="H82" s="137" t="s">
        <v>520</v>
      </c>
      <c r="I82" s="137" t="s">
        <v>35</v>
      </c>
      <c r="J82" s="137" t="s">
        <v>35</v>
      </c>
      <c r="K82" s="137" t="s">
        <v>35</v>
      </c>
      <c r="L82" s="137" t="s">
        <v>35</v>
      </c>
      <c r="M82" s="136" t="s">
        <v>36</v>
      </c>
      <c r="N82" s="136" t="s">
        <v>40</v>
      </c>
      <c r="O82" s="136" t="s">
        <v>64</v>
      </c>
      <c r="P82" s="137" t="s">
        <v>70</v>
      </c>
      <c r="Q82" s="136" t="s">
        <v>40</v>
      </c>
      <c r="R82" s="136" t="s">
        <v>33</v>
      </c>
      <c r="S82" s="137" t="s">
        <v>521</v>
      </c>
      <c r="T82" s="136" t="s">
        <v>40</v>
      </c>
      <c r="U82" s="136" t="s">
        <v>40</v>
      </c>
      <c r="V82" s="136" t="s">
        <v>33</v>
      </c>
      <c r="W82" s="136" t="s">
        <v>41</v>
      </c>
      <c r="X82" s="136" t="s">
        <v>40</v>
      </c>
      <c r="Y82" s="136" t="s">
        <v>33</v>
      </c>
      <c r="Z82" s="136" t="s">
        <v>33</v>
      </c>
      <c r="AA82" s="136" t="s">
        <v>33</v>
      </c>
      <c r="AB82" s="136" t="s">
        <v>33</v>
      </c>
      <c r="AC82" s="136"/>
      <c r="AD82">
        <v>5</v>
      </c>
      <c r="AE82" s="136" t="s">
        <v>42</v>
      </c>
    </row>
    <row r="83" spans="1:31" x14ac:dyDescent="0.3">
      <c r="A83" s="136" t="s">
        <v>522</v>
      </c>
      <c r="B83" s="136" t="s">
        <v>523</v>
      </c>
      <c r="C83" s="136" t="s">
        <v>40</v>
      </c>
      <c r="D83" s="136" t="s">
        <v>524</v>
      </c>
      <c r="E83" s="136" t="s">
        <v>525</v>
      </c>
      <c r="F83" s="136" t="s">
        <v>172</v>
      </c>
      <c r="G83" s="136" t="s">
        <v>173</v>
      </c>
      <c r="H83" s="136" t="s">
        <v>526</v>
      </c>
      <c r="I83" s="137" t="s">
        <v>35</v>
      </c>
      <c r="J83" s="137" t="s">
        <v>35</v>
      </c>
      <c r="K83" s="137" t="s">
        <v>35</v>
      </c>
      <c r="L83" s="137" t="s">
        <v>35</v>
      </c>
      <c r="M83" s="136" t="s">
        <v>46</v>
      </c>
      <c r="N83" s="136" t="s">
        <v>33</v>
      </c>
      <c r="O83" s="136" t="s">
        <v>235</v>
      </c>
      <c r="P83" s="137" t="s">
        <v>89</v>
      </c>
      <c r="Q83" s="136" t="s">
        <v>33</v>
      </c>
      <c r="R83" s="136" t="s">
        <v>33</v>
      </c>
      <c r="S83" s="137" t="s">
        <v>510</v>
      </c>
      <c r="T83" s="136" t="s">
        <v>40</v>
      </c>
      <c r="U83" s="136" t="s">
        <v>40</v>
      </c>
      <c r="V83" s="136" t="s">
        <v>33</v>
      </c>
      <c r="W83" s="136" t="s">
        <v>41</v>
      </c>
      <c r="X83" s="136" t="s">
        <v>40</v>
      </c>
      <c r="Y83" s="136" t="s">
        <v>33</v>
      </c>
      <c r="Z83" s="136" t="s">
        <v>33</v>
      </c>
      <c r="AA83" s="136" t="s">
        <v>33</v>
      </c>
      <c r="AB83" s="136" t="s">
        <v>33</v>
      </c>
      <c r="AC83" s="136"/>
      <c r="AD83">
        <v>5</v>
      </c>
      <c r="AE83" s="136" t="s">
        <v>42</v>
      </c>
    </row>
    <row r="84" spans="1:31" x14ac:dyDescent="0.3">
      <c r="A84" s="136" t="s">
        <v>527</v>
      </c>
      <c r="B84" s="136" t="s">
        <v>528</v>
      </c>
      <c r="C84" s="136" t="s">
        <v>40</v>
      </c>
      <c r="D84" s="136" t="s">
        <v>529</v>
      </c>
      <c r="E84" s="137" t="s">
        <v>530</v>
      </c>
      <c r="F84" s="137" t="s">
        <v>143</v>
      </c>
      <c r="G84" s="137" t="s">
        <v>157</v>
      </c>
      <c r="H84" s="137" t="s">
        <v>531</v>
      </c>
      <c r="I84" s="137" t="s">
        <v>35</v>
      </c>
      <c r="J84" s="137" t="s">
        <v>35</v>
      </c>
      <c r="K84" s="137" t="s">
        <v>35</v>
      </c>
      <c r="L84" s="137" t="s">
        <v>35</v>
      </c>
      <c r="M84" s="136" t="s">
        <v>46</v>
      </c>
      <c r="N84" s="136" t="s">
        <v>33</v>
      </c>
      <c r="O84" s="136" t="s">
        <v>79</v>
      </c>
      <c r="P84" s="137" t="s">
        <v>38</v>
      </c>
      <c r="Q84" s="136" t="s">
        <v>33</v>
      </c>
      <c r="R84" s="136" t="s">
        <v>33</v>
      </c>
      <c r="S84" s="137" t="s">
        <v>532</v>
      </c>
      <c r="T84" s="136" t="s">
        <v>40</v>
      </c>
      <c r="U84" s="136" t="s">
        <v>40</v>
      </c>
      <c r="V84" s="136" t="s">
        <v>33</v>
      </c>
      <c r="W84" s="136" t="s">
        <v>41</v>
      </c>
      <c r="X84" s="136" t="s">
        <v>40</v>
      </c>
      <c r="Y84" s="136" t="s">
        <v>33</v>
      </c>
      <c r="Z84" s="136" t="s">
        <v>33</v>
      </c>
      <c r="AA84" s="136" t="s">
        <v>33</v>
      </c>
      <c r="AB84" s="136" t="s">
        <v>33</v>
      </c>
      <c r="AC84" s="136" t="s">
        <v>49</v>
      </c>
      <c r="AD84">
        <v>4</v>
      </c>
      <c r="AE84" s="136" t="s">
        <v>50</v>
      </c>
    </row>
    <row r="85" spans="1:31" x14ac:dyDescent="0.3">
      <c r="A85" s="136" t="s">
        <v>533</v>
      </c>
      <c r="B85" s="136" t="s">
        <v>534</v>
      </c>
      <c r="C85" s="136" t="s">
        <v>40</v>
      </c>
      <c r="D85" s="136" t="s">
        <v>535</v>
      </c>
      <c r="E85" s="137" t="s">
        <v>536</v>
      </c>
      <c r="F85" s="137" t="s">
        <v>172</v>
      </c>
      <c r="G85" s="137" t="s">
        <v>462</v>
      </c>
      <c r="H85" s="137" t="s">
        <v>537</v>
      </c>
      <c r="I85" s="137" t="s">
        <v>35</v>
      </c>
      <c r="J85" s="137" t="s">
        <v>35</v>
      </c>
      <c r="K85" s="137" t="s">
        <v>35</v>
      </c>
      <c r="L85" s="137" t="s">
        <v>35</v>
      </c>
      <c r="M85" s="136" t="s">
        <v>36</v>
      </c>
      <c r="N85" s="136" t="s">
        <v>33</v>
      </c>
      <c r="O85" s="136" t="s">
        <v>64</v>
      </c>
      <c r="P85" s="137" t="s">
        <v>89</v>
      </c>
      <c r="Q85" s="136" t="s">
        <v>33</v>
      </c>
      <c r="R85" s="136" t="s">
        <v>33</v>
      </c>
      <c r="S85" s="137" t="s">
        <v>492</v>
      </c>
      <c r="T85" s="136" t="s">
        <v>40</v>
      </c>
      <c r="U85" s="136" t="s">
        <v>40</v>
      </c>
      <c r="V85" s="136" t="s">
        <v>33</v>
      </c>
      <c r="W85" s="136" t="s">
        <v>41</v>
      </c>
      <c r="X85" s="136" t="s">
        <v>40</v>
      </c>
      <c r="Y85" s="136" t="s">
        <v>33</v>
      </c>
      <c r="Z85" s="136" t="s">
        <v>33</v>
      </c>
      <c r="AA85" s="136" t="s">
        <v>33</v>
      </c>
      <c r="AB85" s="136" t="s">
        <v>33</v>
      </c>
      <c r="AC85" s="136"/>
      <c r="AD85">
        <v>5</v>
      </c>
      <c r="AE85" s="136" t="s">
        <v>42</v>
      </c>
    </row>
    <row r="86" spans="1:31" x14ac:dyDescent="0.3">
      <c r="A86" s="136" t="s">
        <v>538</v>
      </c>
      <c r="B86" s="136" t="s">
        <v>539</v>
      </c>
      <c r="C86" s="136" t="s">
        <v>40</v>
      </c>
      <c r="D86" s="136" t="s">
        <v>540</v>
      </c>
      <c r="E86" s="136" t="s">
        <v>541</v>
      </c>
      <c r="F86" s="136" t="s">
        <v>143</v>
      </c>
      <c r="G86" s="136" t="s">
        <v>165</v>
      </c>
      <c r="H86" s="136" t="s">
        <v>542</v>
      </c>
      <c r="I86" s="137" t="s">
        <v>35</v>
      </c>
      <c r="J86" s="137" t="s">
        <v>35</v>
      </c>
      <c r="K86" s="137" t="s">
        <v>35</v>
      </c>
      <c r="L86" s="137" t="s">
        <v>35</v>
      </c>
      <c r="M86" s="136" t="s">
        <v>36</v>
      </c>
      <c r="N86" s="136" t="s">
        <v>33</v>
      </c>
      <c r="O86" s="136" t="s">
        <v>374</v>
      </c>
      <c r="P86" s="137" t="s">
        <v>38</v>
      </c>
      <c r="Q86" s="136" t="s">
        <v>33</v>
      </c>
      <c r="R86" s="136" t="s">
        <v>33</v>
      </c>
      <c r="S86" s="137" t="s">
        <v>543</v>
      </c>
      <c r="T86" s="136" t="s">
        <v>40</v>
      </c>
      <c r="U86" s="136" t="s">
        <v>40</v>
      </c>
      <c r="V86" s="136" t="s">
        <v>33</v>
      </c>
      <c r="W86" s="136" t="s">
        <v>41</v>
      </c>
      <c r="X86" s="136" t="s">
        <v>40</v>
      </c>
      <c r="Y86" s="136" t="s">
        <v>33</v>
      </c>
      <c r="Z86" s="136" t="s">
        <v>33</v>
      </c>
      <c r="AA86" s="136" t="s">
        <v>33</v>
      </c>
      <c r="AB86" s="136" t="s">
        <v>33</v>
      </c>
      <c r="AC86" s="136" t="s">
        <v>49</v>
      </c>
      <c r="AD86">
        <v>4</v>
      </c>
      <c r="AE86" s="136" t="s">
        <v>50</v>
      </c>
    </row>
    <row r="87" spans="1:31" x14ac:dyDescent="0.3">
      <c r="A87" s="136" t="s">
        <v>544</v>
      </c>
      <c r="B87" s="136" t="s">
        <v>545</v>
      </c>
      <c r="C87" s="136" t="s">
        <v>40</v>
      </c>
      <c r="D87" s="136" t="s">
        <v>546</v>
      </c>
      <c r="E87" s="137" t="s">
        <v>547</v>
      </c>
      <c r="F87" s="137" t="s">
        <v>172</v>
      </c>
      <c r="G87" s="137" t="s">
        <v>173</v>
      </c>
      <c r="H87" s="137" t="s">
        <v>548</v>
      </c>
      <c r="I87" s="137" t="s">
        <v>35</v>
      </c>
      <c r="J87" s="137" t="s">
        <v>35</v>
      </c>
      <c r="K87" s="137" t="s">
        <v>35</v>
      </c>
      <c r="L87" s="137" t="s">
        <v>35</v>
      </c>
      <c r="M87" s="136" t="s">
        <v>36</v>
      </c>
      <c r="N87" s="136" t="s">
        <v>33</v>
      </c>
      <c r="O87" s="136" t="s">
        <v>549</v>
      </c>
      <c r="P87" s="137" t="s">
        <v>38</v>
      </c>
      <c r="Q87" s="136" t="s">
        <v>33</v>
      </c>
      <c r="R87" s="136" t="s">
        <v>33</v>
      </c>
      <c r="S87" s="137" t="s">
        <v>550</v>
      </c>
      <c r="T87" s="136" t="s">
        <v>40</v>
      </c>
      <c r="U87" s="136" t="s">
        <v>40</v>
      </c>
      <c r="V87" s="136" t="s">
        <v>33</v>
      </c>
      <c r="W87" s="136" t="s">
        <v>41</v>
      </c>
      <c r="X87" s="136" t="s">
        <v>40</v>
      </c>
      <c r="Y87" s="136" t="s">
        <v>33</v>
      </c>
      <c r="Z87" s="136" t="s">
        <v>33</v>
      </c>
      <c r="AA87" s="136" t="s">
        <v>33</v>
      </c>
      <c r="AB87" s="136" t="s">
        <v>33</v>
      </c>
      <c r="AC87" s="136" t="s">
        <v>49</v>
      </c>
      <c r="AD87">
        <v>4</v>
      </c>
      <c r="AE87" s="136" t="s">
        <v>50</v>
      </c>
    </row>
    <row r="88" spans="1:31" x14ac:dyDescent="0.3">
      <c r="A88" s="136" t="s">
        <v>551</v>
      </c>
      <c r="B88" s="136" t="s">
        <v>552</v>
      </c>
      <c r="C88" s="136" t="s">
        <v>40</v>
      </c>
      <c r="D88" s="136" t="s">
        <v>553</v>
      </c>
      <c r="E88" s="137" t="s">
        <v>554</v>
      </c>
      <c r="F88" s="137" t="s">
        <v>143</v>
      </c>
      <c r="G88" s="137" t="s">
        <v>157</v>
      </c>
      <c r="H88" s="137" t="s">
        <v>555</v>
      </c>
      <c r="I88" s="137" t="s">
        <v>35</v>
      </c>
      <c r="J88" s="137" t="s">
        <v>35</v>
      </c>
      <c r="K88" s="137" t="s">
        <v>35</v>
      </c>
      <c r="L88" s="137" t="s">
        <v>35</v>
      </c>
      <c r="M88" s="136" t="s">
        <v>46</v>
      </c>
      <c r="N88" s="136" t="s">
        <v>33</v>
      </c>
      <c r="O88" s="136" t="s">
        <v>97</v>
      </c>
      <c r="P88" s="137" t="s">
        <v>38</v>
      </c>
      <c r="Q88" s="136" t="s">
        <v>33</v>
      </c>
      <c r="R88" s="136" t="s">
        <v>33</v>
      </c>
      <c r="S88" s="137" t="s">
        <v>35</v>
      </c>
      <c r="T88" s="136" t="s">
        <v>40</v>
      </c>
      <c r="U88" s="136" t="s">
        <v>40</v>
      </c>
      <c r="V88" s="136" t="s">
        <v>33</v>
      </c>
      <c r="W88" s="136" t="s">
        <v>41</v>
      </c>
      <c r="X88" s="136" t="s">
        <v>40</v>
      </c>
      <c r="Y88" s="136" t="s">
        <v>33</v>
      </c>
      <c r="Z88" s="136" t="s">
        <v>33</v>
      </c>
      <c r="AA88" s="136" t="s">
        <v>33</v>
      </c>
      <c r="AB88" s="136" t="s">
        <v>33</v>
      </c>
      <c r="AC88" s="136" t="s">
        <v>49</v>
      </c>
      <c r="AD88">
        <v>4</v>
      </c>
      <c r="AE88" s="136" t="s">
        <v>50</v>
      </c>
    </row>
    <row r="89" spans="1:31" x14ac:dyDescent="0.3">
      <c r="A89" s="136" t="s">
        <v>556</v>
      </c>
      <c r="B89" s="136" t="s">
        <v>557</v>
      </c>
      <c r="C89" s="136" t="s">
        <v>40</v>
      </c>
      <c r="D89" s="136" t="s">
        <v>558</v>
      </c>
      <c r="E89" s="137" t="s">
        <v>559</v>
      </c>
      <c r="F89" s="137" t="s">
        <v>172</v>
      </c>
      <c r="G89" s="137" t="s">
        <v>173</v>
      </c>
      <c r="H89" s="137" t="s">
        <v>560</v>
      </c>
      <c r="I89" s="137" t="s">
        <v>35</v>
      </c>
      <c r="J89" s="137" t="s">
        <v>35</v>
      </c>
      <c r="K89" s="137" t="s">
        <v>35</v>
      </c>
      <c r="L89" s="137" t="s">
        <v>35</v>
      </c>
      <c r="M89" s="136" t="s">
        <v>46</v>
      </c>
      <c r="N89" s="136" t="s">
        <v>33</v>
      </c>
      <c r="O89" s="136" t="s">
        <v>69</v>
      </c>
      <c r="P89" s="137" t="s">
        <v>89</v>
      </c>
      <c r="Q89" s="136" t="s">
        <v>33</v>
      </c>
      <c r="R89" s="136" t="s">
        <v>33</v>
      </c>
      <c r="S89" s="137" t="s">
        <v>561</v>
      </c>
      <c r="T89" s="136" t="s">
        <v>40</v>
      </c>
      <c r="U89" s="136" t="s">
        <v>40</v>
      </c>
      <c r="V89" s="136" t="s">
        <v>33</v>
      </c>
      <c r="W89" s="136" t="s">
        <v>41</v>
      </c>
      <c r="X89" s="136" t="s">
        <v>40</v>
      </c>
      <c r="Y89" s="136" t="s">
        <v>33</v>
      </c>
      <c r="Z89" s="136" t="s">
        <v>33</v>
      </c>
      <c r="AA89" s="136" t="s">
        <v>33</v>
      </c>
      <c r="AB89" s="136" t="s">
        <v>33</v>
      </c>
      <c r="AC89" s="136" t="s">
        <v>562</v>
      </c>
      <c r="AD89">
        <v>5</v>
      </c>
      <c r="AE89" s="136" t="s">
        <v>42</v>
      </c>
    </row>
    <row r="90" spans="1:31" x14ac:dyDescent="0.3">
      <c r="A90" s="136" t="s">
        <v>563</v>
      </c>
      <c r="B90" s="136" t="s">
        <v>564</v>
      </c>
      <c r="C90" s="136" t="s">
        <v>40</v>
      </c>
      <c r="D90" s="136" t="s">
        <v>565</v>
      </c>
      <c r="E90" s="137" t="s">
        <v>566</v>
      </c>
      <c r="F90" s="137" t="s">
        <v>127</v>
      </c>
      <c r="G90" s="137" t="s">
        <v>157</v>
      </c>
      <c r="H90" s="137" t="s">
        <v>567</v>
      </c>
      <c r="I90" s="137" t="s">
        <v>35</v>
      </c>
      <c r="J90" s="137" t="s">
        <v>35</v>
      </c>
      <c r="K90" s="137" t="s">
        <v>35</v>
      </c>
      <c r="L90" s="137" t="s">
        <v>35</v>
      </c>
      <c r="M90" s="136" t="s">
        <v>46</v>
      </c>
      <c r="N90" s="136" t="s">
        <v>33</v>
      </c>
      <c r="O90" s="136" t="s">
        <v>69</v>
      </c>
      <c r="P90" s="137" t="s">
        <v>38</v>
      </c>
      <c r="Q90" s="136" t="s">
        <v>33</v>
      </c>
      <c r="R90" s="136" t="s">
        <v>33</v>
      </c>
      <c r="S90" s="137" t="s">
        <v>568</v>
      </c>
      <c r="T90" s="136" t="s">
        <v>40</v>
      </c>
      <c r="U90" s="136" t="s">
        <v>40</v>
      </c>
      <c r="V90" s="136" t="s">
        <v>33</v>
      </c>
      <c r="W90" s="136" t="s">
        <v>41</v>
      </c>
      <c r="X90" s="136" t="s">
        <v>40</v>
      </c>
      <c r="Y90" s="136" t="s">
        <v>33</v>
      </c>
      <c r="Z90" s="136" t="s">
        <v>33</v>
      </c>
      <c r="AA90" s="136" t="s">
        <v>33</v>
      </c>
      <c r="AB90" s="136" t="s">
        <v>33</v>
      </c>
      <c r="AC90" s="136"/>
      <c r="AD90">
        <v>5</v>
      </c>
      <c r="AE90" s="136" t="s">
        <v>42</v>
      </c>
    </row>
    <row r="91" spans="1:31" x14ac:dyDescent="0.3">
      <c r="A91" s="136" t="s">
        <v>569</v>
      </c>
      <c r="B91" s="136" t="s">
        <v>570</v>
      </c>
      <c r="C91" s="136" t="s">
        <v>40</v>
      </c>
      <c r="D91" s="136" t="s">
        <v>571</v>
      </c>
      <c r="E91" s="137" t="s">
        <v>572</v>
      </c>
      <c r="F91" s="137" t="s">
        <v>172</v>
      </c>
      <c r="G91" s="137" t="s">
        <v>173</v>
      </c>
      <c r="H91" s="137" t="s">
        <v>573</v>
      </c>
      <c r="I91" s="137" t="s">
        <v>35</v>
      </c>
      <c r="J91" s="137" t="s">
        <v>35</v>
      </c>
      <c r="K91" s="137" t="s">
        <v>35</v>
      </c>
      <c r="L91" s="137" t="s">
        <v>35</v>
      </c>
      <c r="M91" s="136" t="s">
        <v>36</v>
      </c>
      <c r="N91" s="136" t="s">
        <v>33</v>
      </c>
      <c r="O91" s="136" t="s">
        <v>152</v>
      </c>
      <c r="P91" s="137" t="s">
        <v>38</v>
      </c>
      <c r="Q91" s="136" t="s">
        <v>33</v>
      </c>
      <c r="R91" s="136" t="s">
        <v>33</v>
      </c>
      <c r="S91" s="137" t="s">
        <v>574</v>
      </c>
      <c r="T91" s="136" t="s">
        <v>40</v>
      </c>
      <c r="U91" s="136" t="s">
        <v>40</v>
      </c>
      <c r="V91" s="136" t="s">
        <v>33</v>
      </c>
      <c r="W91" s="136" t="s">
        <v>41</v>
      </c>
      <c r="X91" s="136" t="s">
        <v>40</v>
      </c>
      <c r="Y91" s="136" t="s">
        <v>33</v>
      </c>
      <c r="Z91" s="136" t="s">
        <v>33</v>
      </c>
      <c r="AA91" s="136" t="s">
        <v>33</v>
      </c>
      <c r="AB91" s="136" t="s">
        <v>33</v>
      </c>
      <c r="AC91" s="136"/>
      <c r="AD91">
        <v>5</v>
      </c>
      <c r="AE91" s="136" t="s">
        <v>42</v>
      </c>
    </row>
    <row r="92" spans="1:31" x14ac:dyDescent="0.3">
      <c r="A92" s="136" t="s">
        <v>575</v>
      </c>
      <c r="B92" s="136" t="s">
        <v>576</v>
      </c>
      <c r="C92" s="136" t="s">
        <v>40</v>
      </c>
      <c r="D92" s="136" t="s">
        <v>577</v>
      </c>
      <c r="E92" s="137" t="s">
        <v>578</v>
      </c>
      <c r="F92" s="137" t="s">
        <v>172</v>
      </c>
      <c r="G92" s="137" t="s">
        <v>579</v>
      </c>
      <c r="H92" s="137" t="s">
        <v>580</v>
      </c>
      <c r="I92" s="137" t="s">
        <v>35</v>
      </c>
      <c r="J92" s="137" t="s">
        <v>35</v>
      </c>
      <c r="K92" s="137" t="s">
        <v>35</v>
      </c>
      <c r="L92" s="137" t="s">
        <v>35</v>
      </c>
      <c r="M92" s="136" t="s">
        <v>46</v>
      </c>
      <c r="N92" s="136" t="s">
        <v>33</v>
      </c>
      <c r="O92" s="136" t="s">
        <v>69</v>
      </c>
      <c r="P92" s="137" t="s">
        <v>38</v>
      </c>
      <c r="Q92" s="136" t="s">
        <v>33</v>
      </c>
      <c r="R92" s="136" t="s">
        <v>33</v>
      </c>
      <c r="S92" s="137" t="s">
        <v>581</v>
      </c>
      <c r="T92" s="136" t="s">
        <v>40</v>
      </c>
      <c r="U92" s="136" t="s">
        <v>40</v>
      </c>
      <c r="V92" s="136" t="s">
        <v>33</v>
      </c>
      <c r="W92" s="136" t="s">
        <v>41</v>
      </c>
      <c r="X92" s="136" t="s">
        <v>40</v>
      </c>
      <c r="Y92" s="136" t="s">
        <v>33</v>
      </c>
      <c r="Z92" s="136" t="s">
        <v>33</v>
      </c>
      <c r="AA92" s="136" t="s">
        <v>33</v>
      </c>
      <c r="AB92" s="136" t="s">
        <v>33</v>
      </c>
      <c r="AC92" s="136"/>
      <c r="AD92">
        <v>5</v>
      </c>
      <c r="AE92" s="136" t="s">
        <v>42</v>
      </c>
    </row>
    <row r="93" spans="1:31" x14ac:dyDescent="0.3">
      <c r="A93" s="136" t="s">
        <v>582</v>
      </c>
      <c r="B93" s="136" t="s">
        <v>583</v>
      </c>
      <c r="C93" s="136" t="s">
        <v>40</v>
      </c>
      <c r="D93" s="136" t="s">
        <v>584</v>
      </c>
      <c r="E93" s="137" t="s">
        <v>585</v>
      </c>
      <c r="F93" s="137" t="s">
        <v>172</v>
      </c>
      <c r="G93" s="137" t="s">
        <v>173</v>
      </c>
      <c r="H93" s="137" t="s">
        <v>586</v>
      </c>
      <c r="I93" s="137" t="s">
        <v>35</v>
      </c>
      <c r="J93" s="137" t="s">
        <v>35</v>
      </c>
      <c r="K93" s="137" t="s">
        <v>35</v>
      </c>
      <c r="L93" s="137" t="s">
        <v>35</v>
      </c>
      <c r="M93" s="136" t="s">
        <v>36</v>
      </c>
      <c r="N93" s="136" t="s">
        <v>33</v>
      </c>
      <c r="O93" s="136" t="s">
        <v>64</v>
      </c>
      <c r="P93" s="137" t="s">
        <v>38</v>
      </c>
      <c r="Q93" s="136" t="s">
        <v>33</v>
      </c>
      <c r="R93" s="136" t="s">
        <v>33</v>
      </c>
      <c r="S93" s="137" t="s">
        <v>587</v>
      </c>
      <c r="T93" s="136" t="s">
        <v>33</v>
      </c>
      <c r="U93" s="136" t="s">
        <v>40</v>
      </c>
      <c r="V93" s="136" t="s">
        <v>33</v>
      </c>
      <c r="W93" s="136" t="s">
        <v>41</v>
      </c>
      <c r="X93" s="136" t="s">
        <v>40</v>
      </c>
      <c r="Y93" s="136" t="s">
        <v>33</v>
      </c>
      <c r="Z93" s="136" t="s">
        <v>33</v>
      </c>
      <c r="AA93" s="136" t="s">
        <v>33</v>
      </c>
      <c r="AB93" s="136" t="s">
        <v>33</v>
      </c>
      <c r="AC93" s="136" t="s">
        <v>49</v>
      </c>
      <c r="AD93">
        <v>4</v>
      </c>
      <c r="AE93" s="136" t="s">
        <v>50</v>
      </c>
    </row>
    <row r="94" spans="1:31" x14ac:dyDescent="0.3">
      <c r="A94" s="136" t="s">
        <v>588</v>
      </c>
      <c r="B94" s="136" t="s">
        <v>589</v>
      </c>
      <c r="C94" s="136" t="s">
        <v>40</v>
      </c>
      <c r="D94" s="136" t="s">
        <v>590</v>
      </c>
      <c r="E94" s="137" t="s">
        <v>591</v>
      </c>
      <c r="F94" s="137" t="s">
        <v>172</v>
      </c>
      <c r="G94" s="137" t="s">
        <v>196</v>
      </c>
      <c r="H94" s="137" t="s">
        <v>592</v>
      </c>
      <c r="I94" s="137" t="s">
        <v>35</v>
      </c>
      <c r="J94" s="137" t="s">
        <v>35</v>
      </c>
      <c r="K94" s="137" t="s">
        <v>35</v>
      </c>
      <c r="L94" s="137" t="s">
        <v>35</v>
      </c>
      <c r="M94" s="136" t="s">
        <v>36</v>
      </c>
      <c r="N94" s="136" t="s">
        <v>33</v>
      </c>
      <c r="O94" s="136" t="s">
        <v>374</v>
      </c>
      <c r="P94" s="137" t="s">
        <v>38</v>
      </c>
      <c r="Q94" s="136" t="s">
        <v>33</v>
      </c>
      <c r="R94" s="136" t="s">
        <v>33</v>
      </c>
      <c r="S94" s="137" t="s">
        <v>593</v>
      </c>
      <c r="T94" s="136" t="s">
        <v>40</v>
      </c>
      <c r="U94" s="136" t="s">
        <v>40</v>
      </c>
      <c r="V94" s="136" t="s">
        <v>33</v>
      </c>
      <c r="W94" s="136" t="s">
        <v>41</v>
      </c>
      <c r="X94" s="136" t="s">
        <v>40</v>
      </c>
      <c r="Y94" s="136" t="s">
        <v>33</v>
      </c>
      <c r="Z94" s="136" t="s">
        <v>33</v>
      </c>
      <c r="AA94" s="136" t="s">
        <v>33</v>
      </c>
      <c r="AB94" s="136" t="s">
        <v>33</v>
      </c>
      <c r="AC94" s="136"/>
      <c r="AD94">
        <v>5</v>
      </c>
      <c r="AE94" s="136" t="s">
        <v>42</v>
      </c>
    </row>
    <row r="95" spans="1:31" x14ac:dyDescent="0.3">
      <c r="A95" s="139" t="s">
        <v>594</v>
      </c>
      <c r="B95" s="136" t="s">
        <v>595</v>
      </c>
      <c r="C95" s="136" t="s">
        <v>40</v>
      </c>
      <c r="D95" s="136" t="s">
        <v>596</v>
      </c>
      <c r="E95" s="137" t="s">
        <v>597</v>
      </c>
      <c r="F95" s="137" t="s">
        <v>127</v>
      </c>
      <c r="G95" s="137" t="s">
        <v>157</v>
      </c>
      <c r="H95" s="137" t="s">
        <v>598</v>
      </c>
      <c r="I95" s="137" t="s">
        <v>35</v>
      </c>
      <c r="J95" s="137" t="s">
        <v>35</v>
      </c>
      <c r="K95" s="137" t="s">
        <v>35</v>
      </c>
      <c r="L95" s="137" t="s">
        <v>35</v>
      </c>
      <c r="M95" s="136" t="s">
        <v>36</v>
      </c>
      <c r="N95" s="136" t="s">
        <v>33</v>
      </c>
      <c r="O95" s="136" t="s">
        <v>82</v>
      </c>
      <c r="P95" s="137" t="s">
        <v>38</v>
      </c>
      <c r="Q95" s="136" t="s">
        <v>33</v>
      </c>
      <c r="R95" s="136" t="s">
        <v>33</v>
      </c>
      <c r="S95" s="137" t="s">
        <v>599</v>
      </c>
      <c r="T95" s="136" t="s">
        <v>40</v>
      </c>
      <c r="U95" s="136" t="s">
        <v>40</v>
      </c>
      <c r="V95" s="136" t="s">
        <v>33</v>
      </c>
      <c r="W95" s="136" t="s">
        <v>41</v>
      </c>
      <c r="X95" s="136" t="s">
        <v>33</v>
      </c>
      <c r="Y95" s="136" t="s">
        <v>33</v>
      </c>
      <c r="Z95" s="136" t="s">
        <v>33</v>
      </c>
      <c r="AA95" s="136" t="s">
        <v>33</v>
      </c>
      <c r="AB95" s="136" t="s">
        <v>33</v>
      </c>
      <c r="AC95" s="136"/>
      <c r="AD95">
        <v>5</v>
      </c>
      <c r="AE95" s="136" t="s">
        <v>42</v>
      </c>
    </row>
    <row r="96" spans="1:31" x14ac:dyDescent="0.3">
      <c r="A96" s="139" t="s">
        <v>600</v>
      </c>
      <c r="B96" s="136" t="s">
        <v>601</v>
      </c>
      <c r="C96" s="136" t="s">
        <v>40</v>
      </c>
      <c r="D96" s="136" t="s">
        <v>602</v>
      </c>
      <c r="E96" s="137" t="s">
        <v>603</v>
      </c>
      <c r="F96" s="137" t="s">
        <v>127</v>
      </c>
      <c r="G96" s="137" t="s">
        <v>157</v>
      </c>
      <c r="H96" s="137" t="s">
        <v>604</v>
      </c>
      <c r="I96" s="137"/>
      <c r="J96" s="137"/>
      <c r="K96" s="137"/>
      <c r="L96" s="137"/>
      <c r="M96" s="136" t="s">
        <v>46</v>
      </c>
      <c r="N96" s="136" t="s">
        <v>33</v>
      </c>
      <c r="O96" s="136" t="s">
        <v>97</v>
      </c>
      <c r="P96" s="137" t="s">
        <v>38</v>
      </c>
      <c r="Q96" s="136" t="s">
        <v>33</v>
      </c>
      <c r="R96" s="136" t="s">
        <v>33</v>
      </c>
      <c r="S96" s="137" t="s">
        <v>605</v>
      </c>
      <c r="T96" s="136" t="s">
        <v>40</v>
      </c>
      <c r="U96" s="136" t="s">
        <v>40</v>
      </c>
      <c r="V96" s="136" t="s">
        <v>33</v>
      </c>
      <c r="W96" s="136" t="s">
        <v>41</v>
      </c>
      <c r="X96" s="136" t="s">
        <v>40</v>
      </c>
      <c r="Y96" s="136" t="s">
        <v>33</v>
      </c>
      <c r="Z96" s="136" t="s">
        <v>33</v>
      </c>
      <c r="AA96" s="136" t="s">
        <v>33</v>
      </c>
      <c r="AB96" s="136" t="s">
        <v>33</v>
      </c>
      <c r="AC96" s="136"/>
      <c r="AD96">
        <v>5</v>
      </c>
      <c r="AE96" s="136" t="s">
        <v>42</v>
      </c>
    </row>
    <row r="97" spans="1:31" x14ac:dyDescent="0.3">
      <c r="A97" s="136" t="s">
        <v>606</v>
      </c>
      <c r="B97" s="136" t="s">
        <v>607</v>
      </c>
      <c r="C97" s="136" t="s">
        <v>40</v>
      </c>
      <c r="D97" s="136" t="s">
        <v>608</v>
      </c>
      <c r="E97" s="137" t="s">
        <v>609</v>
      </c>
      <c r="F97" s="137" t="s">
        <v>143</v>
      </c>
      <c r="G97" s="137" t="s">
        <v>157</v>
      </c>
      <c r="H97" s="137" t="s">
        <v>610</v>
      </c>
      <c r="I97" s="137" t="s">
        <v>35</v>
      </c>
      <c r="J97" s="137" t="s">
        <v>35</v>
      </c>
      <c r="K97" s="137" t="s">
        <v>35</v>
      </c>
      <c r="L97" s="137" t="s">
        <v>35</v>
      </c>
      <c r="M97" s="136" t="s">
        <v>46</v>
      </c>
      <c r="N97" s="136" t="s">
        <v>33</v>
      </c>
      <c r="O97" s="136" t="s">
        <v>611</v>
      </c>
      <c r="P97" s="137" t="s">
        <v>38</v>
      </c>
      <c r="Q97" s="136" t="s">
        <v>33</v>
      </c>
      <c r="R97" s="136" t="s">
        <v>33</v>
      </c>
      <c r="S97" s="137" t="s">
        <v>612</v>
      </c>
      <c r="T97" s="136" t="s">
        <v>33</v>
      </c>
      <c r="U97" s="136" t="s">
        <v>40</v>
      </c>
      <c r="V97" s="136" t="s">
        <v>33</v>
      </c>
      <c r="W97" s="136" t="s">
        <v>41</v>
      </c>
      <c r="X97" s="136" t="s">
        <v>40</v>
      </c>
      <c r="Y97" s="136" t="s">
        <v>33</v>
      </c>
      <c r="Z97" s="136" t="s">
        <v>33</v>
      </c>
      <c r="AA97" s="136" t="s">
        <v>33</v>
      </c>
      <c r="AB97" s="136" t="s">
        <v>33</v>
      </c>
      <c r="AC97" s="136" t="s">
        <v>613</v>
      </c>
      <c r="AD97">
        <v>5</v>
      </c>
      <c r="AE97" s="136" t="s">
        <v>42</v>
      </c>
    </row>
    <row r="98" spans="1:31" x14ac:dyDescent="0.3">
      <c r="A98" s="136" t="s">
        <v>614</v>
      </c>
      <c r="B98" s="136" t="s">
        <v>615</v>
      </c>
      <c r="C98" s="136" t="s">
        <v>40</v>
      </c>
      <c r="D98" s="136" t="s">
        <v>616</v>
      </c>
      <c r="E98" s="137" t="s">
        <v>617</v>
      </c>
      <c r="F98" s="137" t="s">
        <v>172</v>
      </c>
      <c r="G98" s="137" t="s">
        <v>462</v>
      </c>
      <c r="H98" s="137" t="s">
        <v>618</v>
      </c>
      <c r="I98" s="137" t="s">
        <v>35</v>
      </c>
      <c r="J98" s="137" t="s">
        <v>35</v>
      </c>
      <c r="K98" s="137" t="s">
        <v>35</v>
      </c>
      <c r="L98" s="137" t="s">
        <v>35</v>
      </c>
      <c r="M98" s="136" t="s">
        <v>36</v>
      </c>
      <c r="N98" s="136" t="s">
        <v>33</v>
      </c>
      <c r="O98" s="136" t="s">
        <v>82</v>
      </c>
      <c r="P98" s="137" t="s">
        <v>38</v>
      </c>
      <c r="Q98" s="136" t="s">
        <v>33</v>
      </c>
      <c r="R98" s="136" t="s">
        <v>33</v>
      </c>
      <c r="S98" s="137" t="s">
        <v>619</v>
      </c>
      <c r="T98" s="136" t="s">
        <v>40</v>
      </c>
      <c r="U98" s="136" t="s">
        <v>40</v>
      </c>
      <c r="V98" s="136" t="s">
        <v>33</v>
      </c>
      <c r="W98" s="136" t="s">
        <v>41</v>
      </c>
      <c r="X98" s="136" t="s">
        <v>40</v>
      </c>
      <c r="Y98" s="136" t="s">
        <v>33</v>
      </c>
      <c r="Z98" s="136" t="s">
        <v>33</v>
      </c>
      <c r="AA98" s="136" t="s">
        <v>33</v>
      </c>
      <c r="AB98" s="136" t="s">
        <v>33</v>
      </c>
      <c r="AC98" s="136"/>
      <c r="AD98">
        <v>5</v>
      </c>
      <c r="AE98" s="136" t="s">
        <v>42</v>
      </c>
    </row>
    <row r="99" spans="1:31" x14ac:dyDescent="0.3">
      <c r="A99" s="136" t="s">
        <v>620</v>
      </c>
      <c r="B99" s="136" t="s">
        <v>621</v>
      </c>
      <c r="C99" s="136" t="s">
        <v>40</v>
      </c>
      <c r="D99" s="136" t="s">
        <v>622</v>
      </c>
      <c r="E99" s="137" t="s">
        <v>623</v>
      </c>
      <c r="F99" s="137" t="s">
        <v>257</v>
      </c>
      <c r="G99" s="137" t="s">
        <v>120</v>
      </c>
      <c r="H99" s="137" t="s">
        <v>624</v>
      </c>
      <c r="I99" s="137" t="s">
        <v>35</v>
      </c>
      <c r="J99" s="137" t="s">
        <v>35</v>
      </c>
      <c r="K99" s="137" t="s">
        <v>35</v>
      </c>
      <c r="L99" s="137" t="s">
        <v>35</v>
      </c>
      <c r="M99" s="136" t="s">
        <v>36</v>
      </c>
      <c r="N99" s="136" t="s">
        <v>33</v>
      </c>
      <c r="O99" s="136" t="s">
        <v>374</v>
      </c>
      <c r="P99" s="137" t="s">
        <v>38</v>
      </c>
      <c r="Q99" s="136" t="s">
        <v>33</v>
      </c>
      <c r="R99" s="136" t="s">
        <v>33</v>
      </c>
      <c r="S99" s="137" t="s">
        <v>625</v>
      </c>
      <c r="T99" s="136" t="s">
        <v>40</v>
      </c>
      <c r="U99" s="136" t="s">
        <v>40</v>
      </c>
      <c r="V99" s="136" t="s">
        <v>33</v>
      </c>
      <c r="W99" s="136" t="s">
        <v>41</v>
      </c>
      <c r="X99" s="136" t="s">
        <v>40</v>
      </c>
      <c r="Y99" s="136" t="s">
        <v>33</v>
      </c>
      <c r="Z99" s="136" t="s">
        <v>33</v>
      </c>
      <c r="AA99" s="136" t="s">
        <v>33</v>
      </c>
      <c r="AB99" s="136" t="s">
        <v>33</v>
      </c>
      <c r="AC99" s="136" t="s">
        <v>49</v>
      </c>
      <c r="AD99">
        <v>4</v>
      </c>
      <c r="AE99" s="136" t="s">
        <v>50</v>
      </c>
    </row>
    <row r="100" spans="1:31" x14ac:dyDescent="0.3">
      <c r="A100" s="139" t="s">
        <v>626</v>
      </c>
      <c r="B100" s="136" t="s">
        <v>627</v>
      </c>
      <c r="C100" s="136" t="s">
        <v>40</v>
      </c>
      <c r="D100" s="136" t="s">
        <v>628</v>
      </c>
      <c r="E100" s="137" t="s">
        <v>629</v>
      </c>
      <c r="F100" s="137" t="s">
        <v>143</v>
      </c>
      <c r="G100" s="137" t="s">
        <v>478</v>
      </c>
      <c r="H100" s="137" t="s">
        <v>630</v>
      </c>
      <c r="I100" s="137" t="s">
        <v>35</v>
      </c>
      <c r="J100" s="137" t="s">
        <v>35</v>
      </c>
      <c r="K100" s="137" t="s">
        <v>35</v>
      </c>
      <c r="L100" s="137" t="s">
        <v>35</v>
      </c>
      <c r="M100" s="136" t="s">
        <v>46</v>
      </c>
      <c r="N100" s="136" t="s">
        <v>33</v>
      </c>
      <c r="O100" s="136" t="s">
        <v>235</v>
      </c>
      <c r="P100" s="137" t="s">
        <v>38</v>
      </c>
      <c r="Q100" s="136" t="s">
        <v>33</v>
      </c>
      <c r="R100" s="136" t="s">
        <v>33</v>
      </c>
      <c r="S100" s="137" t="s">
        <v>631</v>
      </c>
      <c r="T100" s="136" t="s">
        <v>40</v>
      </c>
      <c r="U100" s="136" t="s">
        <v>40</v>
      </c>
      <c r="V100" s="136" t="s">
        <v>33</v>
      </c>
      <c r="W100" s="136" t="s">
        <v>41</v>
      </c>
      <c r="X100" s="136" t="s">
        <v>40</v>
      </c>
      <c r="Y100" s="136" t="s">
        <v>33</v>
      </c>
      <c r="Z100" s="136" t="s">
        <v>33</v>
      </c>
      <c r="AA100" s="136" t="s">
        <v>33</v>
      </c>
      <c r="AB100" s="136" t="s">
        <v>33</v>
      </c>
      <c r="AC100" s="136" t="s">
        <v>49</v>
      </c>
      <c r="AD100">
        <v>4</v>
      </c>
      <c r="AE100" s="136" t="s">
        <v>50</v>
      </c>
    </row>
    <row r="101" spans="1:31" x14ac:dyDescent="0.3">
      <c r="A101" s="136" t="s">
        <v>632</v>
      </c>
      <c r="B101" s="136" t="s">
        <v>633</v>
      </c>
      <c r="C101" s="136" t="s">
        <v>40</v>
      </c>
      <c r="D101" s="136" t="s">
        <v>634</v>
      </c>
      <c r="E101" s="137" t="s">
        <v>635</v>
      </c>
      <c r="F101" s="137" t="s">
        <v>143</v>
      </c>
      <c r="G101" s="137" t="s">
        <v>636</v>
      </c>
      <c r="H101" s="137" t="s">
        <v>637</v>
      </c>
      <c r="I101" s="137" t="s">
        <v>35</v>
      </c>
      <c r="J101" s="137" t="s">
        <v>35</v>
      </c>
      <c r="K101" s="137" t="s">
        <v>35</v>
      </c>
      <c r="L101" s="137" t="s">
        <v>35</v>
      </c>
      <c r="M101" s="136" t="s">
        <v>36</v>
      </c>
      <c r="N101" s="136" t="s">
        <v>33</v>
      </c>
      <c r="O101" s="136" t="s">
        <v>638</v>
      </c>
      <c r="P101" s="137" t="s">
        <v>38</v>
      </c>
      <c r="Q101" s="136" t="s">
        <v>33</v>
      </c>
      <c r="R101" s="136" t="s">
        <v>33</v>
      </c>
      <c r="S101" s="137" t="s">
        <v>639</v>
      </c>
      <c r="T101" s="136" t="s">
        <v>40</v>
      </c>
      <c r="U101" s="136" t="s">
        <v>40</v>
      </c>
      <c r="V101" s="136" t="s">
        <v>33</v>
      </c>
      <c r="W101" s="136" t="s">
        <v>41</v>
      </c>
      <c r="X101" s="136" t="s">
        <v>40</v>
      </c>
      <c r="Y101" s="136" t="s">
        <v>33</v>
      </c>
      <c r="Z101" s="136" t="s">
        <v>33</v>
      </c>
      <c r="AA101" s="136" t="s">
        <v>33</v>
      </c>
      <c r="AB101" s="136" t="s">
        <v>33</v>
      </c>
      <c r="AC101" s="136" t="s">
        <v>49</v>
      </c>
      <c r="AD101">
        <v>4</v>
      </c>
      <c r="AE101" s="136" t="s">
        <v>50</v>
      </c>
    </row>
    <row r="102" spans="1:31" x14ac:dyDescent="0.3">
      <c r="A102" t="s">
        <v>90</v>
      </c>
      <c r="B102" s="136" t="s">
        <v>91</v>
      </c>
      <c r="C102" s="136" t="s">
        <v>40</v>
      </c>
      <c r="D102" s="136" t="s">
        <v>640</v>
      </c>
      <c r="E102" s="137" t="s">
        <v>641</v>
      </c>
      <c r="F102" s="137" t="s">
        <v>394</v>
      </c>
      <c r="G102" s="137" t="s">
        <v>395</v>
      </c>
      <c r="H102" s="137" t="s">
        <v>642</v>
      </c>
      <c r="I102" s="137" t="s">
        <v>35</v>
      </c>
      <c r="J102" s="137" t="s">
        <v>35</v>
      </c>
      <c r="K102" s="137" t="s">
        <v>35</v>
      </c>
      <c r="L102" s="137" t="s">
        <v>35</v>
      </c>
      <c r="M102" s="136" t="s">
        <v>46</v>
      </c>
      <c r="N102" s="136" t="s">
        <v>33</v>
      </c>
      <c r="O102" s="136" t="s">
        <v>69</v>
      </c>
      <c r="P102" s="137" t="s">
        <v>89</v>
      </c>
      <c r="Q102" s="136" t="s">
        <v>33</v>
      </c>
      <c r="R102" s="136" t="s">
        <v>33</v>
      </c>
      <c r="S102" s="137" t="s">
        <v>643</v>
      </c>
      <c r="T102" s="136" t="s">
        <v>40</v>
      </c>
      <c r="U102" s="136" t="s">
        <v>40</v>
      </c>
      <c r="V102" s="136" t="s">
        <v>33</v>
      </c>
      <c r="W102" s="136" t="s">
        <v>41</v>
      </c>
      <c r="X102" s="136" t="s">
        <v>40</v>
      </c>
      <c r="Y102" s="136" t="s">
        <v>33</v>
      </c>
      <c r="Z102" s="136" t="s">
        <v>33</v>
      </c>
      <c r="AA102" s="136" t="s">
        <v>33</v>
      </c>
      <c r="AB102" s="136" t="s">
        <v>33</v>
      </c>
      <c r="AC102" s="136"/>
      <c r="AD102">
        <v>5</v>
      </c>
      <c r="AE102" s="136" t="s">
        <v>42</v>
      </c>
    </row>
    <row r="103" spans="1:31" x14ac:dyDescent="0.3">
      <c r="A103" t="s">
        <v>55</v>
      </c>
      <c r="B103" t="s">
        <v>56</v>
      </c>
      <c r="C103" t="s">
        <v>40</v>
      </c>
      <c r="D103" t="s">
        <v>644</v>
      </c>
      <c r="E103" t="s">
        <v>645</v>
      </c>
      <c r="F103" t="s">
        <v>164</v>
      </c>
      <c r="G103" t="s">
        <v>372</v>
      </c>
      <c r="H103" t="s">
        <v>646</v>
      </c>
      <c r="I103" s="1" t="s">
        <v>35</v>
      </c>
      <c r="J103" s="1" t="s">
        <v>35</v>
      </c>
      <c r="K103" s="1" t="s">
        <v>35</v>
      </c>
      <c r="L103" s="1" t="s">
        <v>35</v>
      </c>
      <c r="M103" t="s">
        <v>46</v>
      </c>
      <c r="N103" t="s">
        <v>33</v>
      </c>
      <c r="O103" t="s">
        <v>647</v>
      </c>
      <c r="P103" s="1" t="s">
        <v>89</v>
      </c>
      <c r="Q103" t="s">
        <v>33</v>
      </c>
      <c r="R103" t="s">
        <v>33</v>
      </c>
      <c r="S103" s="1" t="s">
        <v>648</v>
      </c>
      <c r="T103" t="s">
        <v>40</v>
      </c>
      <c r="U103" t="s">
        <v>40</v>
      </c>
      <c r="V103" t="s">
        <v>33</v>
      </c>
      <c r="W103" t="s">
        <v>41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D103">
        <v>5</v>
      </c>
      <c r="AE103" t="s">
        <v>42</v>
      </c>
    </row>
    <row r="104" spans="1:31" x14ac:dyDescent="0.3">
      <c r="A104" s="136" t="s">
        <v>649</v>
      </c>
      <c r="B104" s="136" t="s">
        <v>650</v>
      </c>
      <c r="C104" s="136" t="s">
        <v>40</v>
      </c>
      <c r="D104" s="136" t="s">
        <v>651</v>
      </c>
      <c r="E104" s="137" t="s">
        <v>652</v>
      </c>
      <c r="F104" s="137" t="s">
        <v>127</v>
      </c>
      <c r="G104" s="137" t="s">
        <v>263</v>
      </c>
      <c r="H104" s="137" t="s">
        <v>653</v>
      </c>
      <c r="I104" s="137" t="s">
        <v>35</v>
      </c>
      <c r="J104" s="137" t="s">
        <v>35</v>
      </c>
      <c r="K104" s="137" t="s">
        <v>35</v>
      </c>
      <c r="L104" s="137" t="s">
        <v>35</v>
      </c>
      <c r="M104" s="136" t="s">
        <v>46</v>
      </c>
      <c r="N104" s="136" t="s">
        <v>33</v>
      </c>
      <c r="O104" s="136" t="s">
        <v>97</v>
      </c>
      <c r="P104" s="137" t="s">
        <v>89</v>
      </c>
      <c r="Q104" s="136" t="s">
        <v>33</v>
      </c>
      <c r="R104" s="136" t="s">
        <v>33</v>
      </c>
      <c r="S104" s="137" t="s">
        <v>654</v>
      </c>
      <c r="T104" s="136" t="s">
        <v>40</v>
      </c>
      <c r="U104" s="136" t="s">
        <v>40</v>
      </c>
      <c r="V104" s="136" t="s">
        <v>33</v>
      </c>
      <c r="W104" s="136" t="s">
        <v>41</v>
      </c>
      <c r="X104" s="136" t="s">
        <v>40</v>
      </c>
      <c r="Y104" s="136" t="s">
        <v>33</v>
      </c>
      <c r="Z104" s="136" t="s">
        <v>33</v>
      </c>
      <c r="AA104" s="136" t="s">
        <v>33</v>
      </c>
      <c r="AB104" s="136" t="s">
        <v>33</v>
      </c>
      <c r="AC104" s="136" t="s">
        <v>49</v>
      </c>
      <c r="AD104">
        <v>4</v>
      </c>
      <c r="AE104" s="136" t="s">
        <v>50</v>
      </c>
    </row>
    <row r="105" spans="1:31" x14ac:dyDescent="0.3">
      <c r="A105" t="s">
        <v>655</v>
      </c>
      <c r="B105" s="136" t="s">
        <v>656</v>
      </c>
      <c r="C105" s="136" t="s">
        <v>40</v>
      </c>
      <c r="D105" s="136" t="s">
        <v>657</v>
      </c>
      <c r="E105" s="137" t="s">
        <v>658</v>
      </c>
      <c r="F105" s="137" t="s">
        <v>127</v>
      </c>
      <c r="G105" s="137" t="s">
        <v>372</v>
      </c>
      <c r="H105" s="137" t="s">
        <v>659</v>
      </c>
      <c r="I105" s="137" t="s">
        <v>35</v>
      </c>
      <c r="J105" s="137" t="s">
        <v>35</v>
      </c>
      <c r="K105" s="137" t="s">
        <v>35</v>
      </c>
      <c r="L105" s="137" t="s">
        <v>35</v>
      </c>
      <c r="M105" s="136" t="s">
        <v>46</v>
      </c>
      <c r="N105" s="136" t="s">
        <v>40</v>
      </c>
      <c r="O105" s="136" t="s">
        <v>450</v>
      </c>
      <c r="P105" s="137" t="s">
        <v>89</v>
      </c>
      <c r="Q105" s="136" t="s">
        <v>33</v>
      </c>
      <c r="R105" s="136" t="s">
        <v>33</v>
      </c>
      <c r="S105" s="137" t="s">
        <v>660</v>
      </c>
      <c r="T105" s="136" t="s">
        <v>40</v>
      </c>
      <c r="U105" s="136" t="s">
        <v>40</v>
      </c>
      <c r="V105" s="136" t="s">
        <v>33</v>
      </c>
      <c r="W105" s="136" t="s">
        <v>41</v>
      </c>
      <c r="X105" s="136" t="s">
        <v>40</v>
      </c>
      <c r="Y105" s="136" t="s">
        <v>33</v>
      </c>
      <c r="Z105" s="136" t="s">
        <v>33</v>
      </c>
      <c r="AA105" s="136" t="s">
        <v>33</v>
      </c>
      <c r="AB105" s="136" t="s">
        <v>33</v>
      </c>
      <c r="AC105" s="136"/>
      <c r="AD105">
        <v>5</v>
      </c>
      <c r="AE105" s="136" t="s">
        <v>42</v>
      </c>
    </row>
    <row r="106" spans="1:31" x14ac:dyDescent="0.3">
      <c r="A106" t="s">
        <v>661</v>
      </c>
      <c r="B106" s="136" t="s">
        <v>662</v>
      </c>
      <c r="C106" s="136" t="s">
        <v>40</v>
      </c>
      <c r="D106" s="136" t="s">
        <v>663</v>
      </c>
      <c r="E106" s="137" t="s">
        <v>664</v>
      </c>
      <c r="F106" s="137" t="s">
        <v>172</v>
      </c>
      <c r="G106" s="137" t="s">
        <v>196</v>
      </c>
      <c r="H106" s="137" t="s">
        <v>592</v>
      </c>
      <c r="I106" s="137" t="s">
        <v>35</v>
      </c>
      <c r="J106" s="137" t="s">
        <v>35</v>
      </c>
      <c r="K106" s="137" t="s">
        <v>35</v>
      </c>
      <c r="L106" s="137" t="s">
        <v>35</v>
      </c>
      <c r="M106" s="136" t="s">
        <v>46</v>
      </c>
      <c r="N106" s="136" t="s">
        <v>33</v>
      </c>
      <c r="O106" s="136" t="s">
        <v>97</v>
      </c>
      <c r="P106" s="137" t="s">
        <v>38</v>
      </c>
      <c r="Q106" s="136" t="s">
        <v>33</v>
      </c>
      <c r="R106" s="136" t="s">
        <v>33</v>
      </c>
      <c r="S106" s="137" t="s">
        <v>665</v>
      </c>
      <c r="T106" s="136" t="s">
        <v>40</v>
      </c>
      <c r="U106" s="136" t="s">
        <v>40</v>
      </c>
      <c r="V106" s="136" t="s">
        <v>33</v>
      </c>
      <c r="W106" s="136" t="s">
        <v>41</v>
      </c>
      <c r="X106" s="136" t="s">
        <v>40</v>
      </c>
      <c r="Y106" s="136" t="s">
        <v>33</v>
      </c>
      <c r="Z106" s="136" t="s">
        <v>33</v>
      </c>
      <c r="AA106" s="136" t="s">
        <v>33</v>
      </c>
      <c r="AB106" s="136" t="s">
        <v>33</v>
      </c>
      <c r="AC106" s="136"/>
      <c r="AD106">
        <v>5</v>
      </c>
      <c r="AE106" s="136" t="s">
        <v>42</v>
      </c>
    </row>
    <row r="107" spans="1:31" x14ac:dyDescent="0.3">
      <c r="A107" t="s">
        <v>666</v>
      </c>
      <c r="B107" s="136" t="s">
        <v>667</v>
      </c>
      <c r="C107" s="136" t="s">
        <v>40</v>
      </c>
      <c r="D107" s="136" t="s">
        <v>668</v>
      </c>
      <c r="E107" s="137" t="s">
        <v>669</v>
      </c>
      <c r="F107" s="137" t="s">
        <v>127</v>
      </c>
      <c r="G107" s="137" t="s">
        <v>380</v>
      </c>
      <c r="H107" s="137" t="s">
        <v>670</v>
      </c>
      <c r="I107" s="137" t="s">
        <v>35</v>
      </c>
      <c r="J107" s="137" t="s">
        <v>35</v>
      </c>
      <c r="K107" s="137" t="s">
        <v>35</v>
      </c>
      <c r="L107" s="137" t="s">
        <v>35</v>
      </c>
      <c r="M107" s="136" t="s">
        <v>36</v>
      </c>
      <c r="N107" s="136" t="s">
        <v>33</v>
      </c>
      <c r="O107" s="136" t="s">
        <v>152</v>
      </c>
      <c r="P107" s="137" t="s">
        <v>89</v>
      </c>
      <c r="Q107" s="136" t="s">
        <v>33</v>
      </c>
      <c r="R107" s="136" t="s">
        <v>33</v>
      </c>
      <c r="S107" s="137" t="s">
        <v>671</v>
      </c>
      <c r="T107" s="136" t="s">
        <v>40</v>
      </c>
      <c r="U107" s="136" t="s">
        <v>40</v>
      </c>
      <c r="V107" s="136" t="s">
        <v>33</v>
      </c>
      <c r="W107" s="136" t="s">
        <v>41</v>
      </c>
      <c r="X107" s="136" t="s">
        <v>40</v>
      </c>
      <c r="Y107" s="136" t="s">
        <v>33</v>
      </c>
      <c r="Z107" s="136" t="s">
        <v>33</v>
      </c>
      <c r="AA107" s="136" t="s">
        <v>33</v>
      </c>
      <c r="AB107" s="136" t="s">
        <v>33</v>
      </c>
      <c r="AC107" s="136"/>
      <c r="AD107">
        <v>5</v>
      </c>
      <c r="AE107" s="136" t="s">
        <v>42</v>
      </c>
    </row>
    <row r="108" spans="1:31" x14ac:dyDescent="0.3">
      <c r="A108" s="136" t="s">
        <v>672</v>
      </c>
      <c r="B108" s="136" t="s">
        <v>673</v>
      </c>
      <c r="C108" s="136" t="s">
        <v>40</v>
      </c>
      <c r="D108" s="136" t="s">
        <v>674</v>
      </c>
      <c r="E108" s="137" t="s">
        <v>675</v>
      </c>
      <c r="F108" s="137" t="s">
        <v>127</v>
      </c>
      <c r="G108" s="137" t="s">
        <v>207</v>
      </c>
      <c r="H108" s="137" t="s">
        <v>676</v>
      </c>
      <c r="I108" s="137" t="s">
        <v>35</v>
      </c>
      <c r="J108" s="137" t="s">
        <v>35</v>
      </c>
      <c r="K108" s="137" t="s">
        <v>35</v>
      </c>
      <c r="L108" s="137" t="s">
        <v>35</v>
      </c>
      <c r="M108" s="136" t="s">
        <v>46</v>
      </c>
      <c r="N108" s="136" t="s">
        <v>33</v>
      </c>
      <c r="O108" s="136" t="s">
        <v>450</v>
      </c>
      <c r="P108" s="137" t="s">
        <v>89</v>
      </c>
      <c r="Q108" s="136" t="s">
        <v>33</v>
      </c>
      <c r="R108" s="136" t="s">
        <v>33</v>
      </c>
      <c r="S108" s="137" t="s">
        <v>671</v>
      </c>
      <c r="T108" s="136" t="s">
        <v>40</v>
      </c>
      <c r="U108" s="136" t="s">
        <v>40</v>
      </c>
      <c r="V108" s="136" t="s">
        <v>33</v>
      </c>
      <c r="W108" s="136" t="s">
        <v>41</v>
      </c>
      <c r="X108" s="136" t="s">
        <v>40</v>
      </c>
      <c r="Y108" s="136" t="s">
        <v>33</v>
      </c>
      <c r="Z108" s="136" t="s">
        <v>33</v>
      </c>
      <c r="AA108" s="136" t="s">
        <v>33</v>
      </c>
      <c r="AB108" s="136" t="s">
        <v>33</v>
      </c>
      <c r="AC108" s="136"/>
      <c r="AD108">
        <v>5</v>
      </c>
      <c r="AE108" s="136" t="s">
        <v>42</v>
      </c>
    </row>
    <row r="109" spans="1:31" x14ac:dyDescent="0.3">
      <c r="A109" s="136" t="s">
        <v>677</v>
      </c>
      <c r="B109" s="136" t="s">
        <v>678</v>
      </c>
      <c r="C109" s="136" t="s">
        <v>40</v>
      </c>
      <c r="D109" s="136" t="s">
        <v>679</v>
      </c>
      <c r="E109" s="137" t="s">
        <v>680</v>
      </c>
      <c r="F109" s="137" t="s">
        <v>127</v>
      </c>
      <c r="G109" s="137" t="s">
        <v>157</v>
      </c>
      <c r="H109" s="137" t="s">
        <v>681</v>
      </c>
      <c r="I109" s="137" t="s">
        <v>35</v>
      </c>
      <c r="J109" s="137" t="s">
        <v>35</v>
      </c>
      <c r="K109" s="137" t="s">
        <v>35</v>
      </c>
      <c r="L109" s="137" t="s">
        <v>35</v>
      </c>
      <c r="M109" s="136" t="s">
        <v>36</v>
      </c>
      <c r="N109" s="136" t="s">
        <v>33</v>
      </c>
      <c r="O109" s="136" t="s">
        <v>682</v>
      </c>
      <c r="P109" s="137" t="s">
        <v>89</v>
      </c>
      <c r="Q109" s="136" t="s">
        <v>33</v>
      </c>
      <c r="R109" s="136" t="s">
        <v>33</v>
      </c>
      <c r="S109" s="137" t="s">
        <v>683</v>
      </c>
      <c r="T109" s="136" t="s">
        <v>40</v>
      </c>
      <c r="U109" s="136" t="s">
        <v>40</v>
      </c>
      <c r="V109" s="136" t="s">
        <v>33</v>
      </c>
      <c r="W109" s="136" t="s">
        <v>41</v>
      </c>
      <c r="X109" s="136" t="s">
        <v>40</v>
      </c>
      <c r="Y109" s="136" t="s">
        <v>33</v>
      </c>
      <c r="Z109" s="136" t="s">
        <v>33</v>
      </c>
      <c r="AA109" s="136" t="s">
        <v>33</v>
      </c>
      <c r="AB109" s="136" t="s">
        <v>40</v>
      </c>
      <c r="AC109" s="136"/>
      <c r="AD109">
        <v>5</v>
      </c>
      <c r="AE109" s="136" t="s">
        <v>42</v>
      </c>
    </row>
    <row r="110" spans="1:31" x14ac:dyDescent="0.3">
      <c r="A110" t="s">
        <v>684</v>
      </c>
      <c r="B110" s="136" t="s">
        <v>685</v>
      </c>
      <c r="C110" s="136" t="s">
        <v>40</v>
      </c>
      <c r="D110" s="136" t="s">
        <v>686</v>
      </c>
      <c r="E110" s="137" t="s">
        <v>687</v>
      </c>
      <c r="F110" s="137" t="s">
        <v>180</v>
      </c>
      <c r="G110" s="137" t="s">
        <v>173</v>
      </c>
      <c r="H110" s="137" t="s">
        <v>688</v>
      </c>
      <c r="I110" s="137" t="s">
        <v>35</v>
      </c>
      <c r="J110" s="137" t="s">
        <v>35</v>
      </c>
      <c r="K110" s="137" t="s">
        <v>35</v>
      </c>
      <c r="L110" s="137" t="s">
        <v>35</v>
      </c>
      <c r="M110" s="136" t="s">
        <v>36</v>
      </c>
      <c r="N110" s="136" t="s">
        <v>33</v>
      </c>
      <c r="O110" s="136" t="s">
        <v>82</v>
      </c>
      <c r="P110" s="137" t="s">
        <v>83</v>
      </c>
      <c r="Q110" s="136" t="s">
        <v>33</v>
      </c>
      <c r="R110" s="136" t="s">
        <v>33</v>
      </c>
      <c r="S110" s="137" t="s">
        <v>35</v>
      </c>
      <c r="T110" s="136" t="s">
        <v>40</v>
      </c>
      <c r="U110" s="136" t="s">
        <v>40</v>
      </c>
      <c r="V110" s="136" t="s">
        <v>33</v>
      </c>
      <c r="W110" s="136" t="s">
        <v>41</v>
      </c>
      <c r="X110" s="136" t="s">
        <v>40</v>
      </c>
      <c r="Y110" s="136" t="s">
        <v>33</v>
      </c>
      <c r="Z110" s="136" t="s">
        <v>33</v>
      </c>
      <c r="AA110" s="136" t="s">
        <v>33</v>
      </c>
      <c r="AB110" s="136" t="s">
        <v>33</v>
      </c>
      <c r="AC110" s="136"/>
      <c r="AD110">
        <v>5</v>
      </c>
      <c r="AE110" s="136" t="s">
        <v>42</v>
      </c>
    </row>
    <row r="111" spans="1:31" x14ac:dyDescent="0.3">
      <c r="A111" t="s">
        <v>689</v>
      </c>
      <c r="B111" s="136" t="s">
        <v>690</v>
      </c>
      <c r="C111" s="136" t="s">
        <v>40</v>
      </c>
      <c r="D111" s="136" t="s">
        <v>691</v>
      </c>
      <c r="E111" s="137" t="s">
        <v>692</v>
      </c>
      <c r="F111" s="137" t="s">
        <v>455</v>
      </c>
      <c r="G111" s="137" t="s">
        <v>693</v>
      </c>
      <c r="H111" s="137" t="s">
        <v>694</v>
      </c>
      <c r="I111" s="137" t="s">
        <v>695</v>
      </c>
      <c r="J111" s="137" t="s">
        <v>455</v>
      </c>
      <c r="K111" s="137" t="s">
        <v>693</v>
      </c>
      <c r="L111" s="137" t="s">
        <v>696</v>
      </c>
      <c r="M111" s="136" t="s">
        <v>46</v>
      </c>
      <c r="N111" s="136" t="s">
        <v>33</v>
      </c>
      <c r="O111" s="136" t="s">
        <v>97</v>
      </c>
      <c r="P111" s="137" t="s">
        <v>89</v>
      </c>
      <c r="Q111" s="136" t="s">
        <v>33</v>
      </c>
      <c r="R111" s="136" t="s">
        <v>33</v>
      </c>
      <c r="S111" s="137" t="s">
        <v>697</v>
      </c>
      <c r="T111" s="136" t="s">
        <v>40</v>
      </c>
      <c r="U111" s="136" t="s">
        <v>40</v>
      </c>
      <c r="V111" s="136" t="s">
        <v>33</v>
      </c>
      <c r="W111" s="136" t="s">
        <v>41</v>
      </c>
      <c r="X111" s="136" t="s">
        <v>40</v>
      </c>
      <c r="Y111" s="136" t="s">
        <v>33</v>
      </c>
      <c r="Z111" s="136" t="s">
        <v>33</v>
      </c>
      <c r="AA111" s="136" t="s">
        <v>33</v>
      </c>
      <c r="AB111" s="136" t="s">
        <v>33</v>
      </c>
      <c r="AC111" s="136" t="s">
        <v>49</v>
      </c>
      <c r="AD111">
        <v>4</v>
      </c>
      <c r="AE111" s="136" t="s">
        <v>50</v>
      </c>
    </row>
    <row r="112" spans="1:31" x14ac:dyDescent="0.3">
      <c r="A112" t="s">
        <v>698</v>
      </c>
      <c r="B112" s="136" t="s">
        <v>699</v>
      </c>
      <c r="C112" s="136" t="s">
        <v>40</v>
      </c>
      <c r="D112" s="136" t="s">
        <v>700</v>
      </c>
      <c r="E112" s="137" t="s">
        <v>701</v>
      </c>
      <c r="F112" s="137" t="s">
        <v>127</v>
      </c>
      <c r="G112" s="137" t="s">
        <v>372</v>
      </c>
      <c r="H112" s="137" t="s">
        <v>702</v>
      </c>
      <c r="I112" s="137" t="s">
        <v>35</v>
      </c>
      <c r="J112" s="137" t="s">
        <v>35</v>
      </c>
      <c r="K112" s="137" t="s">
        <v>35</v>
      </c>
      <c r="L112" s="137" t="s">
        <v>35</v>
      </c>
      <c r="M112" s="136" t="s">
        <v>46</v>
      </c>
      <c r="N112" s="136" t="s">
        <v>33</v>
      </c>
      <c r="O112" s="136" t="s">
        <v>388</v>
      </c>
      <c r="P112" s="137" t="s">
        <v>89</v>
      </c>
      <c r="Q112" s="136" t="s">
        <v>33</v>
      </c>
      <c r="R112" s="136" t="s">
        <v>33</v>
      </c>
      <c r="S112" s="137" t="s">
        <v>703</v>
      </c>
      <c r="T112" s="136" t="s">
        <v>40</v>
      </c>
      <c r="U112" s="136" t="s">
        <v>40</v>
      </c>
      <c r="V112" s="136" t="s">
        <v>33</v>
      </c>
      <c r="W112" s="136" t="s">
        <v>41</v>
      </c>
      <c r="X112" s="136" t="s">
        <v>40</v>
      </c>
      <c r="Y112" s="136" t="s">
        <v>33</v>
      </c>
      <c r="Z112" s="136" t="s">
        <v>33</v>
      </c>
      <c r="AA112" s="136" t="s">
        <v>33</v>
      </c>
      <c r="AB112" s="136" t="s">
        <v>33</v>
      </c>
      <c r="AC112" s="136"/>
      <c r="AD112">
        <v>5</v>
      </c>
      <c r="AE112" s="136" t="s">
        <v>42</v>
      </c>
    </row>
    <row r="113" spans="1:31" x14ac:dyDescent="0.3">
      <c r="A113" t="s">
        <v>704</v>
      </c>
      <c r="B113" s="136" t="s">
        <v>705</v>
      </c>
      <c r="C113" s="136" t="s">
        <v>40</v>
      </c>
      <c r="D113" s="136" t="s">
        <v>706</v>
      </c>
      <c r="E113" s="137" t="s">
        <v>707</v>
      </c>
      <c r="F113" s="137" t="s">
        <v>143</v>
      </c>
      <c r="G113" s="137" t="s">
        <v>207</v>
      </c>
      <c r="H113" s="137" t="s">
        <v>708</v>
      </c>
      <c r="I113" s="137" t="s">
        <v>35</v>
      </c>
      <c r="J113" s="137" t="s">
        <v>35</v>
      </c>
      <c r="K113" s="137" t="s">
        <v>35</v>
      </c>
      <c r="L113" s="137" t="s">
        <v>35</v>
      </c>
      <c r="M113" s="136" t="s">
        <v>46</v>
      </c>
      <c r="N113" s="136" t="s">
        <v>33</v>
      </c>
      <c r="O113" s="136" t="s">
        <v>235</v>
      </c>
      <c r="P113" s="137" t="s">
        <v>89</v>
      </c>
      <c r="Q113" s="136" t="s">
        <v>33</v>
      </c>
      <c r="R113" s="136" t="s">
        <v>33</v>
      </c>
      <c r="S113" s="137" t="s">
        <v>683</v>
      </c>
      <c r="T113" s="136" t="s">
        <v>40</v>
      </c>
      <c r="U113" s="136" t="s">
        <v>40</v>
      </c>
      <c r="V113" s="136" t="s">
        <v>33</v>
      </c>
      <c r="W113" s="136" t="s">
        <v>41</v>
      </c>
      <c r="X113" s="136" t="s">
        <v>40</v>
      </c>
      <c r="Y113" s="136" t="s">
        <v>33</v>
      </c>
      <c r="Z113" s="136" t="s">
        <v>33</v>
      </c>
      <c r="AA113" s="136" t="s">
        <v>33</v>
      </c>
      <c r="AB113" s="136" t="s">
        <v>33</v>
      </c>
      <c r="AC113" s="136"/>
      <c r="AD113">
        <v>5</v>
      </c>
      <c r="AE113" s="136" t="s">
        <v>42</v>
      </c>
    </row>
    <row r="114" spans="1:31" x14ac:dyDescent="0.3">
      <c r="A114" t="s">
        <v>704</v>
      </c>
      <c r="B114" s="136" t="s">
        <v>705</v>
      </c>
      <c r="C114" s="136" t="s">
        <v>40</v>
      </c>
      <c r="D114" s="136" t="s">
        <v>709</v>
      </c>
      <c r="E114" s="137" t="s">
        <v>707</v>
      </c>
      <c r="F114" s="137" t="s">
        <v>127</v>
      </c>
      <c r="G114" s="137" t="s">
        <v>207</v>
      </c>
      <c r="H114" s="137" t="s">
        <v>708</v>
      </c>
      <c r="I114" s="137" t="s">
        <v>35</v>
      </c>
      <c r="J114" s="137" t="s">
        <v>35</v>
      </c>
      <c r="K114" s="137" t="s">
        <v>35</v>
      </c>
      <c r="L114" s="137" t="s">
        <v>35</v>
      </c>
      <c r="M114" s="136" t="s">
        <v>46</v>
      </c>
      <c r="N114" s="136" t="s">
        <v>33</v>
      </c>
      <c r="O114" s="136" t="s">
        <v>710</v>
      </c>
      <c r="P114" s="137" t="s">
        <v>711</v>
      </c>
      <c r="Q114" s="136" t="s">
        <v>40</v>
      </c>
      <c r="R114" s="136" t="s">
        <v>40</v>
      </c>
      <c r="S114" s="137" t="s">
        <v>683</v>
      </c>
      <c r="T114" s="136" t="s">
        <v>40</v>
      </c>
      <c r="U114" s="136" t="s">
        <v>40</v>
      </c>
      <c r="V114" s="136" t="s">
        <v>33</v>
      </c>
      <c r="W114" s="136" t="s">
        <v>40</v>
      </c>
      <c r="X114" s="136" t="s">
        <v>40</v>
      </c>
      <c r="Y114" s="136" t="s">
        <v>40</v>
      </c>
      <c r="Z114" s="136" t="s">
        <v>40</v>
      </c>
      <c r="AA114" s="136" t="s">
        <v>40</v>
      </c>
      <c r="AB114" s="136" t="s">
        <v>40</v>
      </c>
      <c r="AC114" s="136"/>
      <c r="AD114">
        <v>5</v>
      </c>
      <c r="AE114" s="136" t="s">
        <v>42</v>
      </c>
    </row>
    <row r="115" spans="1:31" x14ac:dyDescent="0.3">
      <c r="A115" t="s">
        <v>712</v>
      </c>
      <c r="B115" s="136" t="s">
        <v>713</v>
      </c>
      <c r="C115" s="136" t="s">
        <v>40</v>
      </c>
      <c r="D115" s="136" t="s">
        <v>714</v>
      </c>
      <c r="E115" s="137" t="s">
        <v>715</v>
      </c>
      <c r="F115" s="137" t="s">
        <v>127</v>
      </c>
      <c r="G115" s="137" t="s">
        <v>372</v>
      </c>
      <c r="H115" s="137" t="s">
        <v>716</v>
      </c>
      <c r="I115" s="137" t="s">
        <v>35</v>
      </c>
      <c r="J115" s="137" t="s">
        <v>35</v>
      </c>
      <c r="K115" s="137" t="s">
        <v>35</v>
      </c>
      <c r="L115" s="137" t="s">
        <v>35</v>
      </c>
      <c r="M115" s="136" t="s">
        <v>36</v>
      </c>
      <c r="N115" s="136" t="s">
        <v>33</v>
      </c>
      <c r="O115" s="136" t="s">
        <v>717</v>
      </c>
      <c r="P115" s="137" t="s">
        <v>89</v>
      </c>
      <c r="Q115" s="136" t="s">
        <v>33</v>
      </c>
      <c r="R115" s="136" t="s">
        <v>33</v>
      </c>
      <c r="S115" s="137" t="s">
        <v>49</v>
      </c>
      <c r="T115" s="136" t="s">
        <v>40</v>
      </c>
      <c r="U115" s="136" t="s">
        <v>40</v>
      </c>
      <c r="V115" s="136" t="s">
        <v>33</v>
      </c>
      <c r="W115" s="136" t="s">
        <v>41</v>
      </c>
      <c r="X115" s="136" t="s">
        <v>40</v>
      </c>
      <c r="Y115" s="136" t="s">
        <v>33</v>
      </c>
      <c r="Z115" s="136" t="s">
        <v>33</v>
      </c>
      <c r="AA115" s="136" t="s">
        <v>33</v>
      </c>
      <c r="AB115" s="136" t="s">
        <v>33</v>
      </c>
      <c r="AC115" s="136"/>
      <c r="AD115">
        <v>4</v>
      </c>
      <c r="AE115" s="136" t="s">
        <v>50</v>
      </c>
    </row>
    <row r="116" spans="1:31" x14ac:dyDescent="0.3">
      <c r="A116" s="136" t="s">
        <v>718</v>
      </c>
      <c r="B116" s="136" t="s">
        <v>719</v>
      </c>
      <c r="C116" s="136" t="s">
        <v>40</v>
      </c>
      <c r="D116" s="136" t="s">
        <v>720</v>
      </c>
      <c r="E116" s="137" t="s">
        <v>721</v>
      </c>
      <c r="F116" s="137" t="s">
        <v>455</v>
      </c>
      <c r="G116" s="137" t="s">
        <v>693</v>
      </c>
      <c r="H116" s="137" t="s">
        <v>722</v>
      </c>
      <c r="I116" s="137" t="s">
        <v>723</v>
      </c>
      <c r="J116" s="137" t="s">
        <v>455</v>
      </c>
      <c r="K116" s="137" t="s">
        <v>693</v>
      </c>
      <c r="L116" s="137" t="s">
        <v>724</v>
      </c>
      <c r="M116" s="136" t="s">
        <v>46</v>
      </c>
      <c r="N116" s="136" t="s">
        <v>33</v>
      </c>
      <c r="O116" s="136" t="s">
        <v>69</v>
      </c>
      <c r="P116" s="137" t="s">
        <v>89</v>
      </c>
      <c r="Q116" s="136" t="s">
        <v>33</v>
      </c>
      <c r="R116" s="136" t="s">
        <v>33</v>
      </c>
      <c r="S116" s="137" t="s">
        <v>703</v>
      </c>
      <c r="T116" s="136" t="s">
        <v>40</v>
      </c>
      <c r="U116" s="136" t="s">
        <v>40</v>
      </c>
      <c r="V116" s="136" t="s">
        <v>33</v>
      </c>
      <c r="W116" s="136" t="s">
        <v>41</v>
      </c>
      <c r="X116" s="136" t="s">
        <v>40</v>
      </c>
      <c r="Y116" s="136" t="s">
        <v>33</v>
      </c>
      <c r="Z116" s="136" t="s">
        <v>33</v>
      </c>
      <c r="AA116" s="136" t="s">
        <v>33</v>
      </c>
      <c r="AB116" s="136" t="s">
        <v>33</v>
      </c>
      <c r="AC116" s="136"/>
      <c r="AD116">
        <v>5</v>
      </c>
      <c r="AE116" s="136" t="s">
        <v>42</v>
      </c>
    </row>
    <row r="117" spans="1:31" x14ac:dyDescent="0.3">
      <c r="A117" t="s">
        <v>725</v>
      </c>
      <c r="B117" s="136" t="s">
        <v>726</v>
      </c>
      <c r="C117" s="136" t="s">
        <v>40</v>
      </c>
      <c r="D117" s="136" t="s">
        <v>727</v>
      </c>
      <c r="E117" s="137" t="s">
        <v>728</v>
      </c>
      <c r="F117" s="137" t="s">
        <v>127</v>
      </c>
      <c r="G117" s="137" t="s">
        <v>157</v>
      </c>
      <c r="H117" s="137" t="s">
        <v>729</v>
      </c>
      <c r="I117" s="137" t="s">
        <v>730</v>
      </c>
      <c r="J117" s="137" t="s">
        <v>731</v>
      </c>
      <c r="K117" s="137" t="s">
        <v>732</v>
      </c>
      <c r="L117" s="137" t="s">
        <v>733</v>
      </c>
      <c r="M117" s="136" t="s">
        <v>46</v>
      </c>
      <c r="N117" s="136" t="s">
        <v>33</v>
      </c>
      <c r="O117" s="136" t="s">
        <v>97</v>
      </c>
      <c r="P117" s="137" t="s">
        <v>89</v>
      </c>
      <c r="Q117" s="136" t="s">
        <v>33</v>
      </c>
      <c r="R117" s="136" t="s">
        <v>33</v>
      </c>
      <c r="S117" s="137" t="s">
        <v>697</v>
      </c>
      <c r="T117" s="136" t="s">
        <v>40</v>
      </c>
      <c r="U117" s="136" t="s">
        <v>40</v>
      </c>
      <c r="V117" s="136" t="s">
        <v>33</v>
      </c>
      <c r="W117" s="136" t="s">
        <v>41</v>
      </c>
      <c r="X117" s="136" t="s">
        <v>40</v>
      </c>
      <c r="Y117" s="136" t="s">
        <v>33</v>
      </c>
      <c r="Z117" s="136" t="s">
        <v>33</v>
      </c>
      <c r="AA117" s="136" t="s">
        <v>33</v>
      </c>
      <c r="AB117" s="136" t="s">
        <v>33</v>
      </c>
      <c r="AC117" s="136"/>
      <c r="AD117">
        <v>5</v>
      </c>
      <c r="AE117" s="136" t="s">
        <v>42</v>
      </c>
    </row>
    <row r="118" spans="1:31" x14ac:dyDescent="0.3">
      <c r="A118" s="136" t="s">
        <v>734</v>
      </c>
      <c r="B118" s="136" t="s">
        <v>735</v>
      </c>
      <c r="C118" s="136" t="s">
        <v>40</v>
      </c>
      <c r="D118" s="136" t="s">
        <v>736</v>
      </c>
      <c r="E118" s="137" t="s">
        <v>737</v>
      </c>
      <c r="F118" s="137" t="s">
        <v>127</v>
      </c>
      <c r="G118" s="137" t="s">
        <v>478</v>
      </c>
      <c r="H118" s="137" t="s">
        <v>738</v>
      </c>
      <c r="I118" s="137" t="s">
        <v>35</v>
      </c>
      <c r="J118" s="137" t="s">
        <v>35</v>
      </c>
      <c r="K118" s="137" t="s">
        <v>35</v>
      </c>
      <c r="L118" s="137" t="s">
        <v>35</v>
      </c>
      <c r="M118" s="136" t="s">
        <v>46</v>
      </c>
      <c r="N118" s="136" t="s">
        <v>33</v>
      </c>
      <c r="O118" s="136" t="s">
        <v>388</v>
      </c>
      <c r="P118" s="137" t="s">
        <v>89</v>
      </c>
      <c r="Q118" s="136" t="s">
        <v>33</v>
      </c>
      <c r="R118" s="136" t="s">
        <v>33</v>
      </c>
      <c r="S118" s="137" t="s">
        <v>35</v>
      </c>
      <c r="T118" s="136" t="s">
        <v>40</v>
      </c>
      <c r="U118" s="136" t="s">
        <v>40</v>
      </c>
      <c r="V118" s="136" t="s">
        <v>33</v>
      </c>
      <c r="W118" s="136" t="s">
        <v>41</v>
      </c>
      <c r="X118" s="136" t="s">
        <v>40</v>
      </c>
      <c r="Y118" s="136" t="s">
        <v>33</v>
      </c>
      <c r="Z118" s="136" t="s">
        <v>33</v>
      </c>
      <c r="AA118" s="136" t="s">
        <v>33</v>
      </c>
      <c r="AB118" s="136" t="s">
        <v>33</v>
      </c>
      <c r="AC118" s="136" t="s">
        <v>49</v>
      </c>
      <c r="AD118">
        <v>4</v>
      </c>
      <c r="AE118" s="136" t="s">
        <v>50</v>
      </c>
    </row>
    <row r="119" spans="1:31" x14ac:dyDescent="0.3">
      <c r="A119" t="s">
        <v>739</v>
      </c>
      <c r="B119" s="136" t="s">
        <v>740</v>
      </c>
      <c r="C119" s="136" t="s">
        <v>40</v>
      </c>
      <c r="D119" s="136" t="s">
        <v>741</v>
      </c>
      <c r="E119" s="137" t="s">
        <v>742</v>
      </c>
      <c r="F119" s="137" t="s">
        <v>127</v>
      </c>
      <c r="G119" s="137" t="s">
        <v>743</v>
      </c>
      <c r="H119" s="137" t="s">
        <v>744</v>
      </c>
      <c r="I119" s="137" t="s">
        <v>35</v>
      </c>
      <c r="J119" s="137" t="s">
        <v>35</v>
      </c>
      <c r="K119" s="137" t="s">
        <v>35</v>
      </c>
      <c r="L119" s="137" t="s">
        <v>35</v>
      </c>
      <c r="M119" s="136" t="s">
        <v>183</v>
      </c>
      <c r="N119" s="136" t="s">
        <v>33</v>
      </c>
      <c r="O119" s="136" t="s">
        <v>745</v>
      </c>
      <c r="P119" s="137" t="s">
        <v>38</v>
      </c>
      <c r="Q119" s="136" t="s">
        <v>33</v>
      </c>
      <c r="R119" s="136" t="s">
        <v>40</v>
      </c>
      <c r="S119" s="137" t="s">
        <v>746</v>
      </c>
      <c r="T119" s="136" t="s">
        <v>40</v>
      </c>
      <c r="U119" s="136" t="s">
        <v>40</v>
      </c>
      <c r="V119" s="136" t="s">
        <v>40</v>
      </c>
      <c r="W119" s="136" t="s">
        <v>40</v>
      </c>
      <c r="X119" s="136" t="s">
        <v>40</v>
      </c>
      <c r="Y119" s="136" t="s">
        <v>40</v>
      </c>
      <c r="Z119" s="136" t="s">
        <v>40</v>
      </c>
      <c r="AA119" s="136" t="s">
        <v>40</v>
      </c>
      <c r="AB119" s="136" t="s">
        <v>40</v>
      </c>
      <c r="AC119" s="136"/>
      <c r="AD119">
        <v>5</v>
      </c>
      <c r="AE119" s="136" t="s">
        <v>42</v>
      </c>
    </row>
    <row r="120" spans="1:31" x14ac:dyDescent="0.3">
      <c r="A120" t="s">
        <v>747</v>
      </c>
      <c r="B120" s="136" t="s">
        <v>748</v>
      </c>
      <c r="C120" s="136" t="s">
        <v>40</v>
      </c>
      <c r="D120" s="136" t="s">
        <v>749</v>
      </c>
      <c r="E120" s="137" t="s">
        <v>750</v>
      </c>
      <c r="F120" s="137" t="s">
        <v>751</v>
      </c>
      <c r="G120" s="137" t="s">
        <v>372</v>
      </c>
      <c r="H120" s="137" t="s">
        <v>752</v>
      </c>
      <c r="I120" s="137" t="s">
        <v>35</v>
      </c>
      <c r="J120" s="137" t="s">
        <v>35</v>
      </c>
      <c r="K120" s="137" t="s">
        <v>35</v>
      </c>
      <c r="L120" s="137" t="s">
        <v>35</v>
      </c>
      <c r="M120" s="136" t="s">
        <v>46</v>
      </c>
      <c r="N120" s="136" t="s">
        <v>33</v>
      </c>
      <c r="O120" s="136" t="s">
        <v>388</v>
      </c>
      <c r="P120" s="137" t="s">
        <v>89</v>
      </c>
      <c r="Q120" s="136" t="s">
        <v>33</v>
      </c>
      <c r="R120" s="136" t="s">
        <v>33</v>
      </c>
      <c r="S120" s="137" t="s">
        <v>753</v>
      </c>
      <c r="T120" s="136" t="s">
        <v>40</v>
      </c>
      <c r="U120" s="136" t="s">
        <v>40</v>
      </c>
      <c r="V120" s="136" t="s">
        <v>33</v>
      </c>
      <c r="W120" s="136" t="s">
        <v>41</v>
      </c>
      <c r="X120" s="136" t="s">
        <v>40</v>
      </c>
      <c r="Y120" s="136" t="s">
        <v>33</v>
      </c>
      <c r="Z120" s="136" t="s">
        <v>33</v>
      </c>
      <c r="AA120" s="136" t="s">
        <v>33</v>
      </c>
      <c r="AB120" s="136" t="s">
        <v>33</v>
      </c>
      <c r="AC120" s="136"/>
      <c r="AD120">
        <v>5</v>
      </c>
      <c r="AE120" s="136" t="s">
        <v>42</v>
      </c>
    </row>
    <row r="121" spans="1:31" x14ac:dyDescent="0.3">
      <c r="A121" s="139" t="s">
        <v>754</v>
      </c>
      <c r="B121" s="136" t="s">
        <v>755</v>
      </c>
      <c r="C121" s="136" t="s">
        <v>40</v>
      </c>
      <c r="D121" s="136" t="s">
        <v>756</v>
      </c>
      <c r="E121" s="137" t="s">
        <v>757</v>
      </c>
      <c r="F121" s="137" t="s">
        <v>127</v>
      </c>
      <c r="G121" s="137" t="s">
        <v>758</v>
      </c>
      <c r="H121" s="137" t="s">
        <v>759</v>
      </c>
      <c r="I121" s="137" t="s">
        <v>35</v>
      </c>
      <c r="J121" s="137" t="s">
        <v>35</v>
      </c>
      <c r="K121" s="137" t="s">
        <v>35</v>
      </c>
      <c r="L121" s="137" t="s">
        <v>35</v>
      </c>
      <c r="M121" s="136" t="s">
        <v>46</v>
      </c>
      <c r="N121" s="136" t="s">
        <v>33</v>
      </c>
      <c r="O121" s="136" t="s">
        <v>760</v>
      </c>
      <c r="P121" s="137" t="s">
        <v>89</v>
      </c>
      <c r="Q121" s="136" t="s">
        <v>33</v>
      </c>
      <c r="R121" s="136" t="s">
        <v>33</v>
      </c>
      <c r="S121" s="137" t="s">
        <v>35</v>
      </c>
      <c r="T121" s="136" t="s">
        <v>40</v>
      </c>
      <c r="U121" s="136" t="s">
        <v>40</v>
      </c>
      <c r="V121" s="136" t="s">
        <v>33</v>
      </c>
      <c r="W121" s="136" t="s">
        <v>41</v>
      </c>
      <c r="X121" s="136" t="s">
        <v>33</v>
      </c>
      <c r="Y121" s="136" t="s">
        <v>33</v>
      </c>
      <c r="Z121" s="136" t="s">
        <v>33</v>
      </c>
      <c r="AA121" s="136" t="s">
        <v>33</v>
      </c>
      <c r="AB121" s="136" t="s">
        <v>33</v>
      </c>
      <c r="AC121" s="136"/>
      <c r="AD121">
        <v>5</v>
      </c>
      <c r="AE121" s="136" t="s">
        <v>42</v>
      </c>
    </row>
    <row r="122" spans="1:31" x14ac:dyDescent="0.3">
      <c r="A122" s="139" t="s">
        <v>761</v>
      </c>
      <c r="B122" s="136" t="s">
        <v>762</v>
      </c>
      <c r="C122" s="136" t="s">
        <v>40</v>
      </c>
      <c r="D122" s="136" t="s">
        <v>763</v>
      </c>
      <c r="E122" s="137" t="s">
        <v>764</v>
      </c>
      <c r="F122" s="137" t="s">
        <v>127</v>
      </c>
      <c r="G122" s="137" t="s">
        <v>758</v>
      </c>
      <c r="H122" s="137" t="s">
        <v>765</v>
      </c>
      <c r="I122" s="137" t="s">
        <v>35</v>
      </c>
      <c r="J122" s="137" t="s">
        <v>35</v>
      </c>
      <c r="K122" s="137" t="s">
        <v>35</v>
      </c>
      <c r="L122" s="137" t="s">
        <v>35</v>
      </c>
      <c r="M122" s="136" t="s">
        <v>46</v>
      </c>
      <c r="N122" s="136" t="s">
        <v>33</v>
      </c>
      <c r="O122" s="136" t="s">
        <v>388</v>
      </c>
      <c r="P122" s="137" t="s">
        <v>89</v>
      </c>
      <c r="Q122" s="136" t="s">
        <v>33</v>
      </c>
      <c r="R122" s="136" t="s">
        <v>33</v>
      </c>
      <c r="S122" s="137" t="s">
        <v>35</v>
      </c>
      <c r="T122" s="136" t="s">
        <v>40</v>
      </c>
      <c r="U122" s="136" t="s">
        <v>40</v>
      </c>
      <c r="V122" s="136" t="s">
        <v>33</v>
      </c>
      <c r="W122" s="136" t="s">
        <v>41</v>
      </c>
      <c r="X122" s="136" t="s">
        <v>40</v>
      </c>
      <c r="Y122" s="136" t="s">
        <v>33</v>
      </c>
      <c r="Z122" s="136" t="s">
        <v>33</v>
      </c>
      <c r="AA122" s="136" t="s">
        <v>33</v>
      </c>
      <c r="AB122" s="136" t="s">
        <v>33</v>
      </c>
      <c r="AC122" s="136" t="s">
        <v>49</v>
      </c>
      <c r="AD122">
        <v>4</v>
      </c>
      <c r="AE122" s="136" t="s">
        <v>50</v>
      </c>
    </row>
    <row r="123" spans="1:31" x14ac:dyDescent="0.3">
      <c r="A123" t="s">
        <v>766</v>
      </c>
      <c r="B123" s="136" t="s">
        <v>767</v>
      </c>
      <c r="C123" s="136" t="s">
        <v>40</v>
      </c>
      <c r="D123" s="136" t="s">
        <v>768</v>
      </c>
      <c r="E123" s="137" t="s">
        <v>769</v>
      </c>
      <c r="F123" s="137" t="s">
        <v>127</v>
      </c>
      <c r="G123" s="137" t="s">
        <v>758</v>
      </c>
      <c r="H123" s="137" t="s">
        <v>770</v>
      </c>
      <c r="I123" s="137" t="s">
        <v>35</v>
      </c>
      <c r="J123" s="137" t="s">
        <v>35</v>
      </c>
      <c r="K123" s="137" t="s">
        <v>35</v>
      </c>
      <c r="L123" s="137" t="s">
        <v>35</v>
      </c>
      <c r="M123" s="136" t="s">
        <v>46</v>
      </c>
      <c r="N123" s="136" t="s">
        <v>33</v>
      </c>
      <c r="O123" s="136" t="s">
        <v>771</v>
      </c>
      <c r="P123" s="137" t="s">
        <v>89</v>
      </c>
      <c r="Q123" s="136" t="s">
        <v>33</v>
      </c>
      <c r="R123" s="136" t="s">
        <v>33</v>
      </c>
      <c r="S123" s="137" t="s">
        <v>35</v>
      </c>
      <c r="T123" s="136" t="s">
        <v>40</v>
      </c>
      <c r="U123" s="136" t="s">
        <v>40</v>
      </c>
      <c r="V123" s="136" t="s">
        <v>33</v>
      </c>
      <c r="W123" s="136" t="s">
        <v>41</v>
      </c>
      <c r="X123" s="136" t="s">
        <v>40</v>
      </c>
      <c r="Y123" s="136" t="s">
        <v>33</v>
      </c>
      <c r="Z123" s="136" t="s">
        <v>33</v>
      </c>
      <c r="AA123" s="136" t="s">
        <v>33</v>
      </c>
      <c r="AB123" s="136" t="s">
        <v>33</v>
      </c>
      <c r="AC123" s="136"/>
      <c r="AD123">
        <v>5</v>
      </c>
      <c r="AE123" s="136" t="s">
        <v>42</v>
      </c>
    </row>
    <row r="124" spans="1:31" x14ac:dyDescent="0.3">
      <c r="A124" s="139" t="s">
        <v>772</v>
      </c>
      <c r="B124" s="136" t="s">
        <v>773</v>
      </c>
      <c r="C124" s="136" t="s">
        <v>40</v>
      </c>
      <c r="D124" s="136" t="s">
        <v>774</v>
      </c>
      <c r="E124" s="137" t="s">
        <v>775</v>
      </c>
      <c r="F124" s="137" t="s">
        <v>127</v>
      </c>
      <c r="G124" s="137" t="s">
        <v>372</v>
      </c>
      <c r="H124" s="137" t="s">
        <v>776</v>
      </c>
      <c r="I124" s="137" t="s">
        <v>35</v>
      </c>
      <c r="J124" s="137" t="s">
        <v>35</v>
      </c>
      <c r="K124" s="137" t="s">
        <v>35</v>
      </c>
      <c r="L124" s="137" t="s">
        <v>35</v>
      </c>
      <c r="M124" s="136" t="s">
        <v>46</v>
      </c>
      <c r="N124" s="136" t="s">
        <v>33</v>
      </c>
      <c r="O124" s="136" t="s">
        <v>777</v>
      </c>
      <c r="P124" s="137" t="s">
        <v>70</v>
      </c>
      <c r="Q124" s="136" t="s">
        <v>40</v>
      </c>
      <c r="R124" s="136" t="s">
        <v>33</v>
      </c>
      <c r="S124" s="137" t="s">
        <v>778</v>
      </c>
      <c r="T124" s="136" t="s">
        <v>40</v>
      </c>
      <c r="U124" s="136" t="s">
        <v>40</v>
      </c>
      <c r="V124" s="136" t="s">
        <v>33</v>
      </c>
      <c r="W124" s="136" t="s">
        <v>41</v>
      </c>
      <c r="X124" s="136" t="s">
        <v>40</v>
      </c>
      <c r="Y124" s="136" t="s">
        <v>33</v>
      </c>
      <c r="Z124" s="136" t="s">
        <v>33</v>
      </c>
      <c r="AA124" s="136" t="s">
        <v>33</v>
      </c>
      <c r="AB124" s="136" t="s">
        <v>33</v>
      </c>
      <c r="AC124" s="136"/>
      <c r="AD124">
        <v>5</v>
      </c>
      <c r="AE124" s="136" t="s">
        <v>42</v>
      </c>
    </row>
    <row r="125" spans="1:31" x14ac:dyDescent="0.3">
      <c r="A125" s="139" t="s">
        <v>779</v>
      </c>
      <c r="B125" s="136" t="s">
        <v>780</v>
      </c>
      <c r="C125" s="136" t="s">
        <v>40</v>
      </c>
      <c r="D125" s="136" t="s">
        <v>781</v>
      </c>
      <c r="E125" s="137" t="s">
        <v>782</v>
      </c>
      <c r="F125" s="137" t="s">
        <v>127</v>
      </c>
      <c r="G125" s="137" t="s">
        <v>478</v>
      </c>
      <c r="H125" s="137" t="s">
        <v>783</v>
      </c>
      <c r="I125" s="137" t="s">
        <v>35</v>
      </c>
      <c r="J125" s="137" t="s">
        <v>35</v>
      </c>
      <c r="K125" s="137" t="s">
        <v>35</v>
      </c>
      <c r="L125" s="137" t="s">
        <v>35</v>
      </c>
      <c r="M125" s="136" t="s">
        <v>46</v>
      </c>
      <c r="N125" s="136" t="s">
        <v>33</v>
      </c>
      <c r="O125" s="136" t="s">
        <v>771</v>
      </c>
      <c r="P125" s="137" t="s">
        <v>38</v>
      </c>
      <c r="Q125" s="136" t="s">
        <v>33</v>
      </c>
      <c r="R125" s="136" t="s">
        <v>33</v>
      </c>
      <c r="S125" s="137" t="s">
        <v>784</v>
      </c>
      <c r="T125" s="136" t="s">
        <v>40</v>
      </c>
      <c r="U125" s="136" t="s">
        <v>40</v>
      </c>
      <c r="V125" s="136" t="s">
        <v>33</v>
      </c>
      <c r="W125" s="136" t="s">
        <v>41</v>
      </c>
      <c r="X125" s="136" t="s">
        <v>40</v>
      </c>
      <c r="Y125" s="136" t="s">
        <v>33</v>
      </c>
      <c r="Z125" s="136" t="s">
        <v>33</v>
      </c>
      <c r="AA125" s="136" t="s">
        <v>33</v>
      </c>
      <c r="AB125" s="136" t="s">
        <v>33</v>
      </c>
      <c r="AC125" s="136"/>
      <c r="AD125">
        <v>5</v>
      </c>
      <c r="AE125" s="136" t="s">
        <v>42</v>
      </c>
    </row>
    <row r="126" spans="1:31" x14ac:dyDescent="0.3">
      <c r="A126" s="139" t="s">
        <v>785</v>
      </c>
      <c r="B126" s="136" t="s">
        <v>786</v>
      </c>
      <c r="C126" s="136" t="s">
        <v>33</v>
      </c>
      <c r="D126" s="136" t="s">
        <v>787</v>
      </c>
      <c r="E126" s="137" t="s">
        <v>788</v>
      </c>
      <c r="F126" s="137" t="s">
        <v>127</v>
      </c>
      <c r="G126" s="137" t="s">
        <v>372</v>
      </c>
      <c r="H126" s="137" t="s">
        <v>789</v>
      </c>
      <c r="I126" s="137" t="s">
        <v>35</v>
      </c>
      <c r="J126" s="137" t="s">
        <v>35</v>
      </c>
      <c r="K126" s="137" t="s">
        <v>35</v>
      </c>
      <c r="L126" s="137" t="s">
        <v>35</v>
      </c>
      <c r="M126" s="136" t="s">
        <v>46</v>
      </c>
      <c r="N126" s="136" t="s">
        <v>33</v>
      </c>
      <c r="O126" s="136" t="s">
        <v>97</v>
      </c>
      <c r="P126" s="137" t="s">
        <v>38</v>
      </c>
      <c r="Q126" s="136" t="s">
        <v>33</v>
      </c>
      <c r="R126" s="136" t="s">
        <v>33</v>
      </c>
      <c r="S126" s="137" t="s">
        <v>790</v>
      </c>
      <c r="T126" s="136" t="s">
        <v>40</v>
      </c>
      <c r="U126" s="136" t="s">
        <v>33</v>
      </c>
      <c r="V126" s="136" t="s">
        <v>33</v>
      </c>
      <c r="W126" s="136" t="s">
        <v>41</v>
      </c>
      <c r="X126" s="136" t="s">
        <v>40</v>
      </c>
      <c r="Y126" s="136" t="s">
        <v>33</v>
      </c>
      <c r="Z126" s="136" t="s">
        <v>33</v>
      </c>
      <c r="AA126" s="136" t="s">
        <v>33</v>
      </c>
      <c r="AB126" s="136" t="s">
        <v>33</v>
      </c>
      <c r="AC126" s="136" t="s">
        <v>791</v>
      </c>
      <c r="AD126">
        <v>5</v>
      </c>
      <c r="AE126" s="136" t="s">
        <v>42</v>
      </c>
    </row>
    <row r="127" spans="1:31" x14ac:dyDescent="0.3">
      <c r="A127" s="139" t="s">
        <v>792</v>
      </c>
      <c r="B127" s="136" t="s">
        <v>793</v>
      </c>
      <c r="C127" s="136" t="s">
        <v>33</v>
      </c>
      <c r="D127" s="136" t="s">
        <v>794</v>
      </c>
      <c r="E127" s="137" t="s">
        <v>795</v>
      </c>
      <c r="F127" s="137" t="s">
        <v>127</v>
      </c>
      <c r="G127" s="137" t="s">
        <v>157</v>
      </c>
      <c r="H127" s="137" t="s">
        <v>796</v>
      </c>
      <c r="I127" s="137" t="s">
        <v>35</v>
      </c>
      <c r="J127" s="137" t="s">
        <v>35</v>
      </c>
      <c r="K127" s="137" t="s">
        <v>35</v>
      </c>
      <c r="L127" s="137" t="s">
        <v>35</v>
      </c>
      <c r="M127" s="136" t="s">
        <v>46</v>
      </c>
      <c r="N127" s="136" t="s">
        <v>33</v>
      </c>
      <c r="O127" s="136" t="s">
        <v>235</v>
      </c>
      <c r="P127" s="137" t="s">
        <v>38</v>
      </c>
      <c r="Q127" s="136" t="s">
        <v>33</v>
      </c>
      <c r="R127" s="136" t="s">
        <v>33</v>
      </c>
      <c r="S127" s="137" t="s">
        <v>797</v>
      </c>
      <c r="T127" s="136" t="s">
        <v>40</v>
      </c>
      <c r="U127" s="136" t="s">
        <v>40</v>
      </c>
      <c r="V127" s="136" t="s">
        <v>33</v>
      </c>
      <c r="W127" s="136" t="s">
        <v>41</v>
      </c>
      <c r="X127" s="136" t="s">
        <v>40</v>
      </c>
      <c r="Y127" s="136" t="s">
        <v>33</v>
      </c>
      <c r="Z127" s="136" t="s">
        <v>33</v>
      </c>
      <c r="AA127" s="136" t="s">
        <v>33</v>
      </c>
      <c r="AB127" s="136" t="s">
        <v>33</v>
      </c>
      <c r="AC127" s="136" t="s">
        <v>798</v>
      </c>
      <c r="AD127">
        <v>5</v>
      </c>
      <c r="AE127" s="136" t="s">
        <v>42</v>
      </c>
    </row>
    <row r="128" spans="1:31" x14ac:dyDescent="0.3">
      <c r="A128" t="s">
        <v>799</v>
      </c>
      <c r="B128" s="136" t="s">
        <v>800</v>
      </c>
      <c r="C128" s="136" t="s">
        <v>40</v>
      </c>
      <c r="D128" s="136" t="s">
        <v>801</v>
      </c>
      <c r="E128" s="137" t="s">
        <v>757</v>
      </c>
      <c r="F128" s="137" t="s">
        <v>455</v>
      </c>
      <c r="G128" s="137" t="s">
        <v>802</v>
      </c>
      <c r="H128" s="137" t="s">
        <v>803</v>
      </c>
      <c r="I128" s="137" t="s">
        <v>35</v>
      </c>
      <c r="J128" s="137" t="s">
        <v>35</v>
      </c>
      <c r="K128" s="137" t="s">
        <v>35</v>
      </c>
      <c r="L128" s="137" t="s">
        <v>35</v>
      </c>
      <c r="M128" s="136" t="s">
        <v>46</v>
      </c>
      <c r="N128" s="136" t="s">
        <v>33</v>
      </c>
      <c r="O128" s="136" t="s">
        <v>804</v>
      </c>
      <c r="P128" s="137" t="s">
        <v>38</v>
      </c>
      <c r="Q128" s="136" t="s">
        <v>33</v>
      </c>
      <c r="R128" s="136" t="s">
        <v>33</v>
      </c>
      <c r="S128" s="137" t="s">
        <v>805</v>
      </c>
      <c r="T128" s="136" t="s">
        <v>40</v>
      </c>
      <c r="U128" s="136" t="s">
        <v>40</v>
      </c>
      <c r="V128" s="136" t="s">
        <v>33</v>
      </c>
      <c r="W128" s="136" t="s">
        <v>41</v>
      </c>
      <c r="X128" s="136" t="s">
        <v>40</v>
      </c>
      <c r="Y128" s="136" t="s">
        <v>33</v>
      </c>
      <c r="Z128" s="136" t="s">
        <v>33</v>
      </c>
      <c r="AA128" s="136" t="s">
        <v>33</v>
      </c>
      <c r="AB128" s="136" t="s">
        <v>33</v>
      </c>
      <c r="AC128" s="136"/>
      <c r="AD128">
        <v>5</v>
      </c>
      <c r="AE128" s="136" t="s">
        <v>42</v>
      </c>
    </row>
    <row r="129" spans="1:31" x14ac:dyDescent="0.3">
      <c r="A129" s="136" t="s">
        <v>806</v>
      </c>
      <c r="B129" s="136" t="s">
        <v>807</v>
      </c>
      <c r="C129" s="136" t="s">
        <v>33</v>
      </c>
      <c r="D129" s="136" t="s">
        <v>808</v>
      </c>
      <c r="E129" s="137" t="s">
        <v>35</v>
      </c>
      <c r="F129" s="137" t="s">
        <v>35</v>
      </c>
      <c r="G129" s="137" t="s">
        <v>35</v>
      </c>
      <c r="H129" s="137" t="s">
        <v>35</v>
      </c>
      <c r="I129" s="137" t="s">
        <v>35</v>
      </c>
      <c r="J129" s="137" t="s">
        <v>35</v>
      </c>
      <c r="K129" s="137" t="s">
        <v>35</v>
      </c>
      <c r="L129" s="137" t="s">
        <v>35</v>
      </c>
      <c r="M129" s="136" t="s">
        <v>46</v>
      </c>
      <c r="N129" s="136" t="s">
        <v>33</v>
      </c>
      <c r="O129" s="136" t="s">
        <v>809</v>
      </c>
      <c r="P129" s="137" t="s">
        <v>38</v>
      </c>
      <c r="Q129" s="136" t="s">
        <v>33</v>
      </c>
      <c r="R129" s="136" t="s">
        <v>33</v>
      </c>
      <c r="S129" s="137" t="s">
        <v>35</v>
      </c>
      <c r="T129" s="136" t="s">
        <v>40</v>
      </c>
      <c r="U129" s="136" t="s">
        <v>40</v>
      </c>
      <c r="V129" s="136" t="s">
        <v>33</v>
      </c>
      <c r="W129" s="136" t="s">
        <v>41</v>
      </c>
      <c r="X129" s="136" t="s">
        <v>33</v>
      </c>
      <c r="Y129" s="136" t="s">
        <v>33</v>
      </c>
      <c r="Z129" s="136" t="s">
        <v>33</v>
      </c>
      <c r="AA129" s="136" t="s">
        <v>33</v>
      </c>
      <c r="AB129" s="136" t="s">
        <v>33</v>
      </c>
      <c r="AC129" s="136"/>
      <c r="AD129">
        <v>5</v>
      </c>
      <c r="AE129" s="136" t="s">
        <v>810</v>
      </c>
    </row>
    <row r="130" spans="1:31" x14ac:dyDescent="0.3">
      <c r="A130" s="136" t="s">
        <v>811</v>
      </c>
      <c r="B130" s="136" t="s">
        <v>812</v>
      </c>
      <c r="C130" s="136" t="s">
        <v>33</v>
      </c>
      <c r="D130" s="136" t="s">
        <v>813</v>
      </c>
      <c r="E130" s="137" t="s">
        <v>715</v>
      </c>
      <c r="F130" s="137" t="s">
        <v>164</v>
      </c>
      <c r="G130" s="137" t="s">
        <v>372</v>
      </c>
      <c r="H130" s="137" t="s">
        <v>814</v>
      </c>
      <c r="I130" s="137" t="s">
        <v>35</v>
      </c>
      <c r="J130" s="137" t="s">
        <v>35</v>
      </c>
      <c r="K130" s="137" t="s">
        <v>35</v>
      </c>
      <c r="L130" s="137" t="s">
        <v>35</v>
      </c>
      <c r="M130" s="136" t="s">
        <v>46</v>
      </c>
      <c r="N130" s="136" t="s">
        <v>33</v>
      </c>
      <c r="O130" s="136" t="s">
        <v>815</v>
      </c>
      <c r="P130" s="137" t="s">
        <v>89</v>
      </c>
      <c r="Q130" s="136" t="s">
        <v>33</v>
      </c>
      <c r="R130" s="136" t="s">
        <v>33</v>
      </c>
      <c r="S130" s="137" t="s">
        <v>35</v>
      </c>
      <c r="T130" s="136" t="s">
        <v>40</v>
      </c>
      <c r="U130" s="136" t="s">
        <v>40</v>
      </c>
      <c r="V130" s="136" t="s">
        <v>33</v>
      </c>
      <c r="W130" s="136" t="s">
        <v>41</v>
      </c>
      <c r="X130" s="136" t="s">
        <v>33</v>
      </c>
      <c r="Y130" s="136" t="s">
        <v>33</v>
      </c>
      <c r="Z130" s="136" t="s">
        <v>33</v>
      </c>
      <c r="AA130" s="136" t="s">
        <v>33</v>
      </c>
      <c r="AB130" s="136" t="s">
        <v>33</v>
      </c>
      <c r="AC130" s="137" t="s">
        <v>35</v>
      </c>
      <c r="AD130">
        <v>5</v>
      </c>
      <c r="AE130" s="136" t="s">
        <v>810</v>
      </c>
    </row>
    <row r="131" spans="1:31" x14ac:dyDescent="0.3">
      <c r="A131" s="136" t="s">
        <v>594</v>
      </c>
      <c r="B131" s="136" t="s">
        <v>595</v>
      </c>
      <c r="C131" s="136" t="s">
        <v>33</v>
      </c>
      <c r="D131" s="136" t="s">
        <v>816</v>
      </c>
      <c r="E131" s="137" t="s">
        <v>35</v>
      </c>
      <c r="F131" s="137" t="s">
        <v>35</v>
      </c>
      <c r="G131" s="137" t="s">
        <v>35</v>
      </c>
      <c r="H131" s="137" t="s">
        <v>35</v>
      </c>
      <c r="I131" s="137" t="s">
        <v>35</v>
      </c>
      <c r="J131" s="137" t="s">
        <v>35</v>
      </c>
      <c r="K131" s="137" t="s">
        <v>35</v>
      </c>
      <c r="L131" s="137" t="s">
        <v>35</v>
      </c>
      <c r="M131" s="136" t="s">
        <v>46</v>
      </c>
      <c r="N131" s="136" t="s">
        <v>33</v>
      </c>
      <c r="O131" s="136" t="s">
        <v>815</v>
      </c>
      <c r="P131" s="137" t="s">
        <v>38</v>
      </c>
      <c r="Q131" s="136" t="s">
        <v>33</v>
      </c>
      <c r="R131" s="136" t="s">
        <v>33</v>
      </c>
      <c r="S131" s="137" t="s">
        <v>35</v>
      </c>
      <c r="T131" s="136" t="s">
        <v>40</v>
      </c>
      <c r="U131" s="136" t="s">
        <v>40</v>
      </c>
      <c r="V131" s="136" t="s">
        <v>33</v>
      </c>
      <c r="W131" s="136" t="s">
        <v>41</v>
      </c>
      <c r="X131" s="136" t="s">
        <v>33</v>
      </c>
      <c r="Y131" s="136" t="s">
        <v>33</v>
      </c>
      <c r="Z131" s="136" t="s">
        <v>33</v>
      </c>
      <c r="AA131" s="136" t="s">
        <v>33</v>
      </c>
      <c r="AB131" s="136" t="s">
        <v>33</v>
      </c>
      <c r="AC131" s="137" t="s">
        <v>35</v>
      </c>
      <c r="AD131">
        <v>4</v>
      </c>
      <c r="AE131" s="136" t="s">
        <v>810</v>
      </c>
    </row>
  </sheetData>
  <hyperlinks>
    <hyperlink ref="A96" r:id="rId1" xr:uid="{75966F03-D8A7-448C-A3C2-289790E6EFDE}"/>
    <hyperlink ref="A95" r:id="rId2" xr:uid="{9B0036D9-A31F-4291-BF51-900BF907DB0B}"/>
    <hyperlink ref="A100" r:id="rId3" xr:uid="{B6C88837-B93A-489A-AC09-F110BB70F209}"/>
    <hyperlink ref="A69" r:id="rId4" xr:uid="{6CD50CEE-A2E4-4108-B9E8-91E66B2C00E3}"/>
    <hyperlink ref="A68" r:id="rId5" xr:uid="{473A2D2D-A589-4A60-AD4B-0B90FCC22AB6}"/>
    <hyperlink ref="A67" r:id="rId6" xr:uid="{FC33ADCF-722C-4DA3-AB4B-7C69BF94D491}"/>
    <hyperlink ref="A66" r:id="rId7" xr:uid="{065935F5-465C-44DA-84B1-282A80046C30}"/>
    <hyperlink ref="A65" r:id="rId8" xr:uid="{13213D9C-9B7B-489C-A3CB-4C7AB0509797}"/>
    <hyperlink ref="A64" r:id="rId9" xr:uid="{C6C4D3E9-E770-481B-90BA-245AD10B3E2C}"/>
    <hyperlink ref="A63" r:id="rId10" xr:uid="{C5B2FA8D-DAAF-4991-A0A2-C4E171C4A257}"/>
    <hyperlink ref="A62" r:id="rId11" xr:uid="{9AAA29C0-4FFD-4AE4-B948-CF29B15C4C32}"/>
    <hyperlink ref="A61" r:id="rId12" xr:uid="{7D0E69DB-8FA1-4512-98FD-456FA6B3C878}"/>
    <hyperlink ref="A60" r:id="rId13" xr:uid="{1739537C-AAC0-43CB-B628-6D67447ACCC7}"/>
  </hyperlinks>
  <pageMargins left="0.7" right="0.7" top="0.75" bottom="0.75" header="0.3" footer="0.3"/>
  <pageSetup paperSize="9" orientation="portrait"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3857-2497-4D33-8908-6E59B9C6AAE9}">
  <sheetPr>
    <tabColor rgb="FFFFC000"/>
  </sheetPr>
  <dimension ref="A1:CA65"/>
  <sheetViews>
    <sheetView workbookViewId="0">
      <pane xSplit="11" ySplit="7" topLeftCell="L16" activePane="bottomRight" state="frozen"/>
      <selection pane="topRight"/>
      <selection pane="bottomLeft"/>
      <selection pane="bottomRight" activeCell="H16" sqref="H16"/>
    </sheetView>
  </sheetViews>
  <sheetFormatPr defaultColWidth="9.109375" defaultRowHeight="12.75" customHeight="1" x14ac:dyDescent="0.3"/>
  <cols>
    <col min="1" max="1" width="6.88671875" customWidth="1"/>
    <col min="2" max="2" width="16.44140625" bestFit="1" customWidth="1"/>
    <col min="3" max="3" width="8.88671875" bestFit="1" customWidth="1"/>
    <col min="4" max="4" width="8.88671875" style="133" customWidth="1"/>
    <col min="5" max="5" width="8" style="133" customWidth="1"/>
    <col min="6" max="6" width="10.6640625" style="133" customWidth="1"/>
    <col min="7" max="8" width="12" customWidth="1"/>
    <col min="9" max="9" width="6" customWidth="1"/>
    <col min="10" max="10" width="7.44140625" customWidth="1"/>
    <col min="11" max="11" width="7.109375" customWidth="1"/>
    <col min="12" max="12" width="1.88671875" customWidth="1"/>
    <col min="13" max="68" width="2.44140625" customWidth="1"/>
    <col min="70" max="70" width="9.88671875" bestFit="1" customWidth="1"/>
    <col min="72" max="78" width="9.109375" style="6"/>
    <col min="79" max="79" width="12.109375" style="6" bestFit="1" customWidth="1"/>
    <col min="80" max="16384" width="9.109375" style="6"/>
  </cols>
  <sheetData>
    <row r="1" spans="1:72" ht="21" x14ac:dyDescent="0.3">
      <c r="A1" s="152" t="s">
        <v>817</v>
      </c>
      <c r="B1" s="152"/>
      <c r="C1" s="152"/>
      <c r="D1" s="152"/>
      <c r="E1" s="2"/>
      <c r="F1" s="2"/>
      <c r="G1" s="2"/>
      <c r="H1" s="2"/>
      <c r="I1" s="153"/>
      <c r="J1" s="15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3"/>
      <c r="BP1" s="3"/>
      <c r="BQ1" s="3"/>
      <c r="BR1" s="3"/>
      <c r="BS1" s="5"/>
    </row>
    <row r="2" spans="1:72" ht="17.399999999999999" x14ac:dyDescent="0.3">
      <c r="A2" s="155" t="s">
        <v>818</v>
      </c>
      <c r="B2" s="155"/>
      <c r="C2" s="155"/>
      <c r="D2" s="155"/>
      <c r="E2" s="7"/>
      <c r="F2" s="7"/>
      <c r="G2" s="7"/>
      <c r="H2" s="2"/>
      <c r="I2" s="153"/>
      <c r="J2" s="15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3"/>
      <c r="BP2" s="3"/>
      <c r="BQ2" s="3"/>
      <c r="BR2" s="3"/>
      <c r="BS2" s="5"/>
    </row>
    <row r="3" spans="1:72" ht="15" customHeight="1" x14ac:dyDescent="0.3">
      <c r="A3" s="8"/>
      <c r="B3" s="9"/>
      <c r="C3" s="3"/>
      <c r="D3" s="10"/>
      <c r="E3" s="10"/>
      <c r="F3" s="10"/>
      <c r="G3" s="3"/>
      <c r="H3" s="3"/>
      <c r="I3" s="3"/>
      <c r="J3" s="11"/>
      <c r="K3" s="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3"/>
      <c r="BO3" s="3"/>
      <c r="BP3" s="3"/>
      <c r="BQ3" s="13"/>
      <c r="BR3" s="6"/>
      <c r="BS3" s="5"/>
    </row>
    <row r="4" spans="1:72" ht="15" customHeight="1" x14ac:dyDescent="0.3">
      <c r="A4" s="14"/>
      <c r="B4" s="15" t="s">
        <v>819</v>
      </c>
      <c r="C4" s="156">
        <v>45824</v>
      </c>
      <c r="D4" s="156"/>
      <c r="E4" s="156"/>
      <c r="F4" s="156"/>
      <c r="G4" s="156"/>
      <c r="H4" s="134"/>
      <c r="I4" s="135" t="s">
        <v>820</v>
      </c>
      <c r="J4" s="144">
        <v>8</v>
      </c>
      <c r="K4" s="16"/>
      <c r="L4" s="17"/>
      <c r="M4" s="157" t="str">
        <f>"Week "&amp;(M6-($C$4-WEEKDAY($C$4,1)+2))/7+1</f>
        <v>Week 8</v>
      </c>
      <c r="N4" s="158"/>
      <c r="O4" s="158"/>
      <c r="P4" s="158"/>
      <c r="Q4" s="158"/>
      <c r="R4" s="158"/>
      <c r="S4" s="159"/>
      <c r="T4" s="157" t="str">
        <f>"Week "&amp;(T6-($C$4-WEEKDAY($C$4,1)+2))/7+1</f>
        <v>Week 9</v>
      </c>
      <c r="U4" s="158"/>
      <c r="V4" s="158"/>
      <c r="W4" s="158"/>
      <c r="X4" s="158"/>
      <c r="Y4" s="158"/>
      <c r="Z4" s="159"/>
      <c r="AA4" s="157" t="str">
        <f>"Week "&amp;(AA6-($C$4-WEEKDAY($C$4,1)+2))/7+1</f>
        <v>Week 10</v>
      </c>
      <c r="AB4" s="158"/>
      <c r="AC4" s="158"/>
      <c r="AD4" s="158"/>
      <c r="AE4" s="158"/>
      <c r="AF4" s="158"/>
      <c r="AG4" s="159"/>
      <c r="AH4" s="157" t="str">
        <f>"Week "&amp;(AH6-($C$4-WEEKDAY($C$4,1)+2))/7+1</f>
        <v>Week 11</v>
      </c>
      <c r="AI4" s="158"/>
      <c r="AJ4" s="158"/>
      <c r="AK4" s="158"/>
      <c r="AL4" s="158"/>
      <c r="AM4" s="158"/>
      <c r="AN4" s="159"/>
      <c r="AO4" s="157" t="str">
        <f>"Week "&amp;(AO6-($C$4-WEEKDAY($C$4,1)+2))/7+1</f>
        <v>Week 12</v>
      </c>
      <c r="AP4" s="158"/>
      <c r="AQ4" s="158"/>
      <c r="AR4" s="158"/>
      <c r="AS4" s="158"/>
      <c r="AT4" s="158"/>
      <c r="AU4" s="159"/>
      <c r="AV4" s="157" t="str">
        <f>"Week "&amp;(AV6-($C$4-WEEKDAY($C$4,1)+2))/7+1</f>
        <v>Week 13</v>
      </c>
      <c r="AW4" s="158"/>
      <c r="AX4" s="158"/>
      <c r="AY4" s="158"/>
      <c r="AZ4" s="158"/>
      <c r="BA4" s="158"/>
      <c r="BB4" s="159"/>
      <c r="BC4" s="157" t="str">
        <f>"Week "&amp;(BC6-($C$4-WEEKDAY($C$4,1)+2))/7+1</f>
        <v>Week 14</v>
      </c>
      <c r="BD4" s="158"/>
      <c r="BE4" s="158"/>
      <c r="BF4" s="158"/>
      <c r="BG4" s="158"/>
      <c r="BH4" s="158"/>
      <c r="BI4" s="159"/>
      <c r="BJ4" s="157" t="str">
        <f>"Week "&amp;(BJ6-($C$4-WEEKDAY($C$4,1)+2))/7+1</f>
        <v>Week 15</v>
      </c>
      <c r="BK4" s="158"/>
      <c r="BL4" s="158"/>
      <c r="BM4" s="158"/>
      <c r="BN4" s="158"/>
      <c r="BO4" s="158"/>
      <c r="BP4" s="159"/>
      <c r="BQ4" s="18"/>
      <c r="BR4" s="19"/>
      <c r="BS4" s="19"/>
    </row>
    <row r="5" spans="1:72" ht="23.25" customHeight="1" x14ac:dyDescent="0.3">
      <c r="A5" s="14"/>
      <c r="B5" s="20" t="s">
        <v>821</v>
      </c>
      <c r="C5" s="140" t="e">
        <f>D8+D20+D22+D25+D36+D40+D43+D47+D63</f>
        <v>#REF!</v>
      </c>
      <c r="D5" s="143" t="s">
        <v>822</v>
      </c>
      <c r="E5" s="141" t="e">
        <f>COUNTIFS(#REF!,$D$5)</f>
        <v>#REF!</v>
      </c>
      <c r="F5" s="143" t="s">
        <v>823</v>
      </c>
      <c r="G5" s="142" t="e">
        <f>IF(C5=0,"",C5-E5)</f>
        <v>#REF!</v>
      </c>
      <c r="H5" s="14"/>
      <c r="I5" s="14"/>
      <c r="J5" s="14"/>
      <c r="K5" s="14"/>
      <c r="L5" s="17"/>
      <c r="M5" s="160">
        <f>M6</f>
        <v>45873</v>
      </c>
      <c r="N5" s="161"/>
      <c r="O5" s="161"/>
      <c r="P5" s="161"/>
      <c r="Q5" s="161"/>
      <c r="R5" s="161"/>
      <c r="S5" s="162"/>
      <c r="T5" s="160">
        <f>T6</f>
        <v>45880</v>
      </c>
      <c r="U5" s="161"/>
      <c r="V5" s="161"/>
      <c r="W5" s="161"/>
      <c r="X5" s="161"/>
      <c r="Y5" s="161"/>
      <c r="Z5" s="162"/>
      <c r="AA5" s="160">
        <f>AA6</f>
        <v>45887</v>
      </c>
      <c r="AB5" s="161"/>
      <c r="AC5" s="161"/>
      <c r="AD5" s="161"/>
      <c r="AE5" s="161"/>
      <c r="AF5" s="161"/>
      <c r="AG5" s="162"/>
      <c r="AH5" s="160">
        <f>AH6</f>
        <v>45894</v>
      </c>
      <c r="AI5" s="161"/>
      <c r="AJ5" s="161"/>
      <c r="AK5" s="161"/>
      <c r="AL5" s="161"/>
      <c r="AM5" s="161"/>
      <c r="AN5" s="162"/>
      <c r="AO5" s="160">
        <f>AO6</f>
        <v>45901</v>
      </c>
      <c r="AP5" s="161"/>
      <c r="AQ5" s="161"/>
      <c r="AR5" s="161"/>
      <c r="AS5" s="161"/>
      <c r="AT5" s="161"/>
      <c r="AU5" s="162"/>
      <c r="AV5" s="160">
        <f>AV6</f>
        <v>45908</v>
      </c>
      <c r="AW5" s="161"/>
      <c r="AX5" s="161"/>
      <c r="AY5" s="161"/>
      <c r="AZ5" s="161"/>
      <c r="BA5" s="161"/>
      <c r="BB5" s="162"/>
      <c r="BC5" s="160">
        <f>BC6</f>
        <v>45915</v>
      </c>
      <c r="BD5" s="161"/>
      <c r="BE5" s="161"/>
      <c r="BF5" s="161"/>
      <c r="BG5" s="161"/>
      <c r="BH5" s="161"/>
      <c r="BI5" s="162"/>
      <c r="BJ5" s="160">
        <f>BJ6</f>
        <v>45922</v>
      </c>
      <c r="BK5" s="161"/>
      <c r="BL5" s="161"/>
      <c r="BM5" s="161"/>
      <c r="BN5" s="161"/>
      <c r="BO5" s="161"/>
      <c r="BP5" s="162"/>
      <c r="BQ5" s="21"/>
      <c r="BR5" s="3"/>
      <c r="BS5" s="3"/>
      <c r="BT5" s="22"/>
    </row>
    <row r="6" spans="1:72" ht="18" customHeight="1" x14ac:dyDescent="0.3">
      <c r="A6" s="17"/>
      <c r="B6" s="17"/>
      <c r="C6" s="17"/>
      <c r="D6" s="23"/>
      <c r="E6" s="23"/>
      <c r="F6" s="23"/>
      <c r="G6" s="17"/>
      <c r="H6" s="17"/>
      <c r="I6" s="17"/>
      <c r="J6" s="17"/>
      <c r="K6" s="17"/>
      <c r="L6" s="17"/>
      <c r="M6" s="24">
        <f>C4-WEEKDAY(C4,1)+2+7*(J4-1)</f>
        <v>45873</v>
      </c>
      <c r="N6" s="25">
        <f t="shared" ref="N6:BP6" si="0">M6+1</f>
        <v>45874</v>
      </c>
      <c r="O6" s="25">
        <f t="shared" si="0"/>
        <v>45875</v>
      </c>
      <c r="P6" s="25">
        <f t="shared" si="0"/>
        <v>45876</v>
      </c>
      <c r="Q6" s="25">
        <f t="shared" si="0"/>
        <v>45877</v>
      </c>
      <c r="R6" s="25">
        <f t="shared" si="0"/>
        <v>45878</v>
      </c>
      <c r="S6" s="26">
        <f t="shared" si="0"/>
        <v>45879</v>
      </c>
      <c r="T6" s="24">
        <f t="shared" si="0"/>
        <v>45880</v>
      </c>
      <c r="U6" s="25">
        <f t="shared" si="0"/>
        <v>45881</v>
      </c>
      <c r="V6" s="25">
        <f t="shared" si="0"/>
        <v>45882</v>
      </c>
      <c r="W6" s="25">
        <f t="shared" si="0"/>
        <v>45883</v>
      </c>
      <c r="X6" s="25">
        <f t="shared" si="0"/>
        <v>45884</v>
      </c>
      <c r="Y6" s="25">
        <f t="shared" si="0"/>
        <v>45885</v>
      </c>
      <c r="Z6" s="26">
        <f t="shared" si="0"/>
        <v>45886</v>
      </c>
      <c r="AA6" s="24">
        <f t="shared" si="0"/>
        <v>45887</v>
      </c>
      <c r="AB6" s="25">
        <f t="shared" si="0"/>
        <v>45888</v>
      </c>
      <c r="AC6" s="25">
        <f t="shared" si="0"/>
        <v>45889</v>
      </c>
      <c r="AD6" s="25">
        <f t="shared" si="0"/>
        <v>45890</v>
      </c>
      <c r="AE6" s="25">
        <f t="shared" si="0"/>
        <v>45891</v>
      </c>
      <c r="AF6" s="25">
        <f t="shared" si="0"/>
        <v>45892</v>
      </c>
      <c r="AG6" s="26">
        <f t="shared" si="0"/>
        <v>45893</v>
      </c>
      <c r="AH6" s="24">
        <f t="shared" si="0"/>
        <v>45894</v>
      </c>
      <c r="AI6" s="25">
        <f t="shared" si="0"/>
        <v>45895</v>
      </c>
      <c r="AJ6" s="25">
        <f t="shared" si="0"/>
        <v>45896</v>
      </c>
      <c r="AK6" s="25">
        <f t="shared" si="0"/>
        <v>45897</v>
      </c>
      <c r="AL6" s="25">
        <f t="shared" si="0"/>
        <v>45898</v>
      </c>
      <c r="AM6" s="25">
        <f t="shared" si="0"/>
        <v>45899</v>
      </c>
      <c r="AN6" s="26">
        <f t="shared" si="0"/>
        <v>45900</v>
      </c>
      <c r="AO6" s="24">
        <f t="shared" si="0"/>
        <v>45901</v>
      </c>
      <c r="AP6" s="25">
        <f t="shared" si="0"/>
        <v>45902</v>
      </c>
      <c r="AQ6" s="25">
        <f t="shared" si="0"/>
        <v>45903</v>
      </c>
      <c r="AR6" s="25">
        <f t="shared" si="0"/>
        <v>45904</v>
      </c>
      <c r="AS6" s="25">
        <f t="shared" si="0"/>
        <v>45905</v>
      </c>
      <c r="AT6" s="25">
        <f t="shared" si="0"/>
        <v>45906</v>
      </c>
      <c r="AU6" s="26">
        <f t="shared" si="0"/>
        <v>45907</v>
      </c>
      <c r="AV6" s="24">
        <f t="shared" si="0"/>
        <v>45908</v>
      </c>
      <c r="AW6" s="25">
        <f t="shared" si="0"/>
        <v>45909</v>
      </c>
      <c r="AX6" s="25">
        <f t="shared" si="0"/>
        <v>45910</v>
      </c>
      <c r="AY6" s="25">
        <f t="shared" si="0"/>
        <v>45911</v>
      </c>
      <c r="AZ6" s="25">
        <f t="shared" si="0"/>
        <v>45912</v>
      </c>
      <c r="BA6" s="25">
        <f t="shared" si="0"/>
        <v>45913</v>
      </c>
      <c r="BB6" s="26">
        <f t="shared" si="0"/>
        <v>45914</v>
      </c>
      <c r="BC6" s="24">
        <f t="shared" si="0"/>
        <v>45915</v>
      </c>
      <c r="BD6" s="25">
        <f t="shared" si="0"/>
        <v>45916</v>
      </c>
      <c r="BE6" s="25">
        <f t="shared" si="0"/>
        <v>45917</v>
      </c>
      <c r="BF6" s="25">
        <f t="shared" si="0"/>
        <v>45918</v>
      </c>
      <c r="BG6" s="25">
        <f t="shared" si="0"/>
        <v>45919</v>
      </c>
      <c r="BH6" s="25">
        <f t="shared" si="0"/>
        <v>45920</v>
      </c>
      <c r="BI6" s="26">
        <f t="shared" si="0"/>
        <v>45921</v>
      </c>
      <c r="BJ6" s="24">
        <f t="shared" si="0"/>
        <v>45922</v>
      </c>
      <c r="BK6" s="25">
        <f t="shared" si="0"/>
        <v>45923</v>
      </c>
      <c r="BL6" s="25">
        <f t="shared" si="0"/>
        <v>45924</v>
      </c>
      <c r="BM6" s="25">
        <f t="shared" si="0"/>
        <v>45925</v>
      </c>
      <c r="BN6" s="25">
        <f t="shared" si="0"/>
        <v>45926</v>
      </c>
      <c r="BO6" s="25">
        <f t="shared" si="0"/>
        <v>45927</v>
      </c>
      <c r="BP6" s="26">
        <f t="shared" si="0"/>
        <v>45928</v>
      </c>
      <c r="BQ6" s="27"/>
      <c r="BR6" s="28" t="s">
        <v>822</v>
      </c>
      <c r="BS6" s="29"/>
      <c r="BT6" s="22"/>
    </row>
    <row r="7" spans="1:72" s="41" customFormat="1" ht="18" customHeight="1" x14ac:dyDescent="0.25">
      <c r="A7" s="30" t="s">
        <v>824</v>
      </c>
      <c r="B7" s="30" t="s">
        <v>825</v>
      </c>
      <c r="C7" s="31" t="s">
        <v>826</v>
      </c>
      <c r="D7" s="31" t="s">
        <v>827</v>
      </c>
      <c r="E7" s="31" t="s">
        <v>822</v>
      </c>
      <c r="F7" s="31" t="s">
        <v>828</v>
      </c>
      <c r="G7" s="32" t="s">
        <v>829</v>
      </c>
      <c r="H7" s="32" t="s">
        <v>830</v>
      </c>
      <c r="I7" s="31" t="s">
        <v>831</v>
      </c>
      <c r="J7" s="31" t="s">
        <v>832</v>
      </c>
      <c r="K7" s="33" t="s">
        <v>833</v>
      </c>
      <c r="L7" s="34"/>
      <c r="M7" s="35" t="str">
        <f t="shared" ref="M7:BP7" si="1">CHOOSE(WEEKDAY(M6,1),"S","M","T","W","T","F","S")</f>
        <v>M</v>
      </c>
      <c r="N7" s="36" t="str">
        <f t="shared" si="1"/>
        <v>T</v>
      </c>
      <c r="O7" s="36" t="str">
        <f t="shared" si="1"/>
        <v>W</v>
      </c>
      <c r="P7" s="36" t="str">
        <f t="shared" si="1"/>
        <v>T</v>
      </c>
      <c r="Q7" s="36" t="str">
        <f t="shared" si="1"/>
        <v>F</v>
      </c>
      <c r="R7" s="36" t="str">
        <f t="shared" si="1"/>
        <v>S</v>
      </c>
      <c r="S7" s="37" t="str">
        <f t="shared" si="1"/>
        <v>S</v>
      </c>
      <c r="T7" s="35" t="str">
        <f t="shared" si="1"/>
        <v>M</v>
      </c>
      <c r="U7" s="36" t="str">
        <f t="shared" si="1"/>
        <v>T</v>
      </c>
      <c r="V7" s="36" t="str">
        <f t="shared" si="1"/>
        <v>W</v>
      </c>
      <c r="W7" s="36" t="str">
        <f t="shared" si="1"/>
        <v>T</v>
      </c>
      <c r="X7" s="36" t="str">
        <f t="shared" si="1"/>
        <v>F</v>
      </c>
      <c r="Y7" s="36" t="str">
        <f t="shared" si="1"/>
        <v>S</v>
      </c>
      <c r="Z7" s="37" t="str">
        <f t="shared" si="1"/>
        <v>S</v>
      </c>
      <c r="AA7" s="35" t="str">
        <f t="shared" si="1"/>
        <v>M</v>
      </c>
      <c r="AB7" s="36" t="str">
        <f t="shared" si="1"/>
        <v>T</v>
      </c>
      <c r="AC7" s="36" t="str">
        <f t="shared" si="1"/>
        <v>W</v>
      </c>
      <c r="AD7" s="36" t="str">
        <f t="shared" si="1"/>
        <v>T</v>
      </c>
      <c r="AE7" s="36" t="str">
        <f t="shared" si="1"/>
        <v>F</v>
      </c>
      <c r="AF7" s="36" t="str">
        <f t="shared" si="1"/>
        <v>S</v>
      </c>
      <c r="AG7" s="37" t="str">
        <f t="shared" si="1"/>
        <v>S</v>
      </c>
      <c r="AH7" s="35" t="str">
        <f t="shared" si="1"/>
        <v>M</v>
      </c>
      <c r="AI7" s="36" t="str">
        <f t="shared" si="1"/>
        <v>T</v>
      </c>
      <c r="AJ7" s="36" t="str">
        <f t="shared" si="1"/>
        <v>W</v>
      </c>
      <c r="AK7" s="36" t="str">
        <f t="shared" si="1"/>
        <v>T</v>
      </c>
      <c r="AL7" s="36" t="str">
        <f t="shared" si="1"/>
        <v>F</v>
      </c>
      <c r="AM7" s="36" t="str">
        <f t="shared" si="1"/>
        <v>S</v>
      </c>
      <c r="AN7" s="37" t="str">
        <f t="shared" si="1"/>
        <v>S</v>
      </c>
      <c r="AO7" s="35" t="str">
        <f t="shared" si="1"/>
        <v>M</v>
      </c>
      <c r="AP7" s="36" t="str">
        <f t="shared" si="1"/>
        <v>T</v>
      </c>
      <c r="AQ7" s="36" t="str">
        <f t="shared" si="1"/>
        <v>W</v>
      </c>
      <c r="AR7" s="36" t="str">
        <f t="shared" si="1"/>
        <v>T</v>
      </c>
      <c r="AS7" s="36" t="str">
        <f t="shared" si="1"/>
        <v>F</v>
      </c>
      <c r="AT7" s="36" t="str">
        <f t="shared" si="1"/>
        <v>S</v>
      </c>
      <c r="AU7" s="37" t="str">
        <f t="shared" si="1"/>
        <v>S</v>
      </c>
      <c r="AV7" s="35" t="str">
        <f t="shared" si="1"/>
        <v>M</v>
      </c>
      <c r="AW7" s="36" t="str">
        <f t="shared" si="1"/>
        <v>T</v>
      </c>
      <c r="AX7" s="36" t="str">
        <f t="shared" si="1"/>
        <v>W</v>
      </c>
      <c r="AY7" s="36" t="str">
        <f t="shared" si="1"/>
        <v>T</v>
      </c>
      <c r="AZ7" s="36" t="str">
        <f t="shared" si="1"/>
        <v>F</v>
      </c>
      <c r="BA7" s="36" t="str">
        <f t="shared" si="1"/>
        <v>S</v>
      </c>
      <c r="BB7" s="37" t="str">
        <f t="shared" si="1"/>
        <v>S</v>
      </c>
      <c r="BC7" s="35" t="str">
        <f t="shared" si="1"/>
        <v>M</v>
      </c>
      <c r="BD7" s="36" t="str">
        <f t="shared" si="1"/>
        <v>T</v>
      </c>
      <c r="BE7" s="36" t="str">
        <f t="shared" si="1"/>
        <v>W</v>
      </c>
      <c r="BF7" s="36" t="str">
        <f t="shared" si="1"/>
        <v>T</v>
      </c>
      <c r="BG7" s="36" t="str">
        <f t="shared" si="1"/>
        <v>F</v>
      </c>
      <c r="BH7" s="36" t="str">
        <f t="shared" si="1"/>
        <v>S</v>
      </c>
      <c r="BI7" s="37" t="str">
        <f t="shared" si="1"/>
        <v>S</v>
      </c>
      <c r="BJ7" s="35" t="str">
        <f t="shared" si="1"/>
        <v>M</v>
      </c>
      <c r="BK7" s="36" t="str">
        <f t="shared" si="1"/>
        <v>T</v>
      </c>
      <c r="BL7" s="36" t="str">
        <f t="shared" si="1"/>
        <v>W</v>
      </c>
      <c r="BM7" s="36" t="str">
        <f t="shared" si="1"/>
        <v>T</v>
      </c>
      <c r="BN7" s="36" t="str">
        <f t="shared" si="1"/>
        <v>F</v>
      </c>
      <c r="BO7" s="36" t="str">
        <f t="shared" si="1"/>
        <v>S</v>
      </c>
      <c r="BP7" s="37" t="str">
        <f t="shared" si="1"/>
        <v>S</v>
      </c>
      <c r="BQ7" s="16"/>
      <c r="BR7" s="38" t="s">
        <v>834</v>
      </c>
      <c r="BS7" s="39"/>
      <c r="BT7" s="40"/>
    </row>
    <row r="8" spans="1:72" s="54" customFormat="1" ht="18" x14ac:dyDescent="0.3">
      <c r="A8" s="42" t="str">
        <f>IF(ISERROR(VALUE(SUBSTITUTE(prevWBS,".",""))),"1",IF(ISERROR(FIND("`",SUBSTITUTE(prevWBS,".","`",1))),TEXT(VALUE(prevWBS)+1,"#"),TEXT(VALUE(LEFT(prevWBS,FIND("`",SUBSTITUTE(prevWBS,".","`",1))-1))+1,"#")))</f>
        <v>1</v>
      </c>
      <c r="B8" s="43" t="s">
        <v>835</v>
      </c>
      <c r="C8" s="44"/>
      <c r="D8" s="45" t="e">
        <f>SUM(D9:D19)</f>
        <v>#REF!</v>
      </c>
      <c r="E8" s="45" t="e">
        <f>SUM(E9:E19)</f>
        <v>#REF!</v>
      </c>
      <c r="F8" s="147" t="e">
        <f>SUM(F9:F19)</f>
        <v>#REF!</v>
      </c>
      <c r="G8" s="46"/>
      <c r="H8" s="47" t="str">
        <f>IF(ISBLANK(G8)," - ",IF(I8=0,G8,G8+I8-1))</f>
        <v xml:space="preserve"> - </v>
      </c>
      <c r="I8" s="48">
        <f>SUM(I9:I19)</f>
        <v>40</v>
      </c>
      <c r="J8" s="49"/>
      <c r="K8" s="50" t="str">
        <f>IF(OR(H8=0,G8=0)," - ",NETWORKDAYS(G8,H8))</f>
        <v xml:space="preserve"> - </v>
      </c>
      <c r="L8" s="51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3"/>
      <c r="BR8" s="44"/>
      <c r="BS8" s="44"/>
    </row>
    <row r="9" spans="1:72" s="54" customFormat="1" ht="18" x14ac:dyDescent="0.3">
      <c r="A9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1.1</v>
      </c>
      <c r="B9" s="56" t="s">
        <v>836</v>
      </c>
      <c r="C9" s="57" t="s">
        <v>837</v>
      </c>
      <c r="D9" s="58" t="e">
        <f>COUNTIFS(#REF!,$B9,#REF!,$B$8,#REF!,"ใช้งาน")</f>
        <v>#REF!</v>
      </c>
      <c r="E9" s="58" t="e">
        <f>COUNTIFS(#REF!,$B9,#REF!,$B$8,#REF!,Dashboard!$E$7)</f>
        <v>#REF!</v>
      </c>
      <c r="F9" s="58" t="e">
        <f>D9-E9</f>
        <v>#REF!</v>
      </c>
      <c r="G9" s="59"/>
      <c r="H9" s="60" t="str">
        <f>IF(ISBLANK(G9)," - ",IF(I9=0,G9,G9+I9-1))</f>
        <v xml:space="preserve"> - </v>
      </c>
      <c r="I9" s="61">
        <v>10</v>
      </c>
      <c r="J9" s="62" t="e">
        <f t="shared" ref="J9:J18" si="2">E9*100%/D9</f>
        <v>#REF!</v>
      </c>
      <c r="K9" s="63" t="str">
        <f>IF(OR(H9=0,G9=0)," - ",NETWORKDAYS(G9,H9))</f>
        <v xml:space="preserve"> - </v>
      </c>
      <c r="L9" s="64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7"/>
      <c r="BR9" s="57"/>
      <c r="BS9" s="57"/>
    </row>
    <row r="10" spans="1:72" s="54" customFormat="1" ht="18" x14ac:dyDescent="0.3">
      <c r="A10" s="55" t="str">
        <f t="shared" ref="A10:A24" si="3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1.2</v>
      </c>
      <c r="B10" s="56" t="s">
        <v>838</v>
      </c>
      <c r="C10" s="57" t="s">
        <v>837</v>
      </c>
      <c r="D10" s="58" t="e">
        <f>COUNTIFS(#REF!,$B10,#REF!,$B$8,#REF!,"ใช้งาน")</f>
        <v>#REF!</v>
      </c>
      <c r="E10" s="58" t="e">
        <f>COUNTIFS(#REF!,$B10,#REF!,$B$8,#REF!,Dashboard!$E$7)</f>
        <v>#REF!</v>
      </c>
      <c r="F10" s="58" t="e">
        <f t="shared" ref="F10:F19" si="4">D10-E10</f>
        <v>#REF!</v>
      </c>
      <c r="G10" s="59"/>
      <c r="H10" s="60" t="str">
        <f>IF(ISBLANK(G10)," - ",IF(I10=0,G10,G10+I10-1))</f>
        <v xml:space="preserve"> - </v>
      </c>
      <c r="I10" s="61">
        <v>3</v>
      </c>
      <c r="J10" s="62" t="e">
        <f t="shared" si="2"/>
        <v>#REF!</v>
      </c>
      <c r="K10" s="63" t="str">
        <f>IF(OR(H10=0,G10=0)," - ",NETWORKDAYS(G10,H10))</f>
        <v xml:space="preserve"> - </v>
      </c>
      <c r="L10" s="64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7"/>
      <c r="BR10" s="57"/>
      <c r="BS10" s="57"/>
    </row>
    <row r="11" spans="1:72" s="54" customFormat="1" ht="18" x14ac:dyDescent="0.3">
      <c r="A11" s="55" t="str">
        <f t="shared" si="3"/>
        <v>1.3</v>
      </c>
      <c r="B11" s="56" t="s">
        <v>839</v>
      </c>
      <c r="C11" s="57" t="s">
        <v>837</v>
      </c>
      <c r="D11" s="58" t="e">
        <f>COUNTIFS(#REF!,$B11,#REF!,$B$8,#REF!,"ใช้งาน")</f>
        <v>#REF!</v>
      </c>
      <c r="E11" s="58" t="e">
        <f>COUNTIFS(#REF!,$B11,#REF!,$B$8,#REF!,Dashboard!$E$7)</f>
        <v>#REF!</v>
      </c>
      <c r="F11" s="58" t="e">
        <f t="shared" si="4"/>
        <v>#REF!</v>
      </c>
      <c r="G11" s="59"/>
      <c r="H11" s="60" t="str">
        <f t="shared" ref="H11:H46" si="5">IF(ISBLANK(G11)," - ",IF(I11=0,G11,G11+I11-1))</f>
        <v xml:space="preserve"> - </v>
      </c>
      <c r="I11" s="61">
        <v>3</v>
      </c>
      <c r="J11" s="62" t="e">
        <f>E11*100%/D11</f>
        <v>#REF!</v>
      </c>
      <c r="K11" s="63" t="str">
        <f t="shared" ref="K11:K46" si="6">IF(OR(H11=0,G11=0)," - ",NETWORKDAYS(G11,H11))</f>
        <v xml:space="preserve"> - </v>
      </c>
      <c r="L11" s="64"/>
      <c r="M11" s="55"/>
      <c r="N11" s="55"/>
      <c r="O11" s="6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7"/>
      <c r="BR11" s="57"/>
      <c r="BS11" s="57"/>
    </row>
    <row r="12" spans="1:72" s="54" customFormat="1" ht="18" x14ac:dyDescent="0.3">
      <c r="A12" s="55" t="str">
        <f t="shared" si="3"/>
        <v>1.4</v>
      </c>
      <c r="B12" s="56" t="s">
        <v>840</v>
      </c>
      <c r="C12" s="57" t="s">
        <v>837</v>
      </c>
      <c r="D12" s="58" t="e">
        <f>COUNTIFS(#REF!,$B12,#REF!,$B$8,#REF!,"ใช้งาน")</f>
        <v>#REF!</v>
      </c>
      <c r="E12" s="58" t="e">
        <f>COUNTIFS(#REF!,$B12,#REF!,$B$8,#REF!,Dashboard!$E$7)</f>
        <v>#REF!</v>
      </c>
      <c r="F12" s="58" t="e">
        <f t="shared" si="4"/>
        <v>#REF!</v>
      </c>
      <c r="G12" s="59"/>
      <c r="H12" s="60" t="str">
        <f t="shared" si="5"/>
        <v xml:space="preserve"> - </v>
      </c>
      <c r="I12" s="61">
        <v>3</v>
      </c>
      <c r="J12" s="62" t="e">
        <f t="shared" si="2"/>
        <v>#REF!</v>
      </c>
      <c r="K12" s="63" t="str">
        <f t="shared" si="6"/>
        <v xml:space="preserve"> - </v>
      </c>
      <c r="L12" s="64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7"/>
      <c r="BR12" s="57"/>
      <c r="BS12" s="57"/>
    </row>
    <row r="13" spans="1:72" s="54" customFormat="1" ht="18" x14ac:dyDescent="0.3">
      <c r="A13" s="55" t="str">
        <f t="shared" si="3"/>
        <v>1.5</v>
      </c>
      <c r="B13" s="56" t="s">
        <v>841</v>
      </c>
      <c r="C13" s="57" t="s">
        <v>837</v>
      </c>
      <c r="D13" s="58" t="e">
        <f>COUNTIFS(#REF!,$B13,#REF!,$B$8,#REF!,"ใช้งาน")</f>
        <v>#REF!</v>
      </c>
      <c r="E13" s="58" t="e">
        <f>COUNTIFS(#REF!,$B13,#REF!,$B$8,#REF!,Dashboard!$E$7)</f>
        <v>#REF!</v>
      </c>
      <c r="F13" s="58" t="e">
        <f t="shared" si="4"/>
        <v>#REF!</v>
      </c>
      <c r="G13" s="59"/>
      <c r="H13" s="60" t="str">
        <f t="shared" si="5"/>
        <v xml:space="preserve"> - </v>
      </c>
      <c r="I13" s="61">
        <v>5</v>
      </c>
      <c r="J13" s="62" t="e">
        <f t="shared" si="2"/>
        <v>#REF!</v>
      </c>
      <c r="K13" s="63" t="str">
        <f t="shared" si="6"/>
        <v xml:space="preserve"> - </v>
      </c>
      <c r="L13" s="64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7"/>
      <c r="BR13" s="57"/>
      <c r="BS13" s="57"/>
    </row>
    <row r="14" spans="1:72" s="54" customFormat="1" ht="18" x14ac:dyDescent="0.3">
      <c r="A14" s="55" t="str">
        <f t="shared" si="3"/>
        <v>1.6</v>
      </c>
      <c r="B14" s="56" t="s">
        <v>842</v>
      </c>
      <c r="C14" s="57" t="s">
        <v>837</v>
      </c>
      <c r="D14" s="58" t="e">
        <f>COUNTIFS(#REF!,$B14,#REF!,$B$8,#REF!,"ใช้งาน")</f>
        <v>#REF!</v>
      </c>
      <c r="E14" s="58" t="e">
        <f>COUNTIFS(#REF!,$B14,#REF!,$B$8,#REF!,Dashboard!$E$7)</f>
        <v>#REF!</v>
      </c>
      <c r="F14" s="58" t="e">
        <f t="shared" si="4"/>
        <v>#REF!</v>
      </c>
      <c r="G14" s="59"/>
      <c r="H14" s="60" t="str">
        <f t="shared" si="5"/>
        <v xml:space="preserve"> - </v>
      </c>
      <c r="I14" s="61">
        <v>2</v>
      </c>
      <c r="J14" s="62" t="e">
        <f t="shared" si="2"/>
        <v>#REF!</v>
      </c>
      <c r="K14" s="63" t="str">
        <f t="shared" si="6"/>
        <v xml:space="preserve"> - </v>
      </c>
      <c r="L14" s="64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7"/>
      <c r="BR14" s="57"/>
      <c r="BS14" s="57"/>
    </row>
    <row r="15" spans="1:72" s="54" customFormat="1" ht="18" x14ac:dyDescent="0.3">
      <c r="A15" s="55" t="str">
        <f t="shared" si="3"/>
        <v>1.7</v>
      </c>
      <c r="B15" s="56" t="s">
        <v>843</v>
      </c>
      <c r="C15" s="57" t="s">
        <v>837</v>
      </c>
      <c r="D15" s="58" t="e">
        <f>COUNTIFS(#REF!,$B15,#REF!,$B$8,#REF!,"ใช้งาน")</f>
        <v>#REF!</v>
      </c>
      <c r="E15" s="58" t="e">
        <f>COUNTIFS(#REF!,$B15,#REF!,$B$8,#REF!,Dashboard!$E$7)</f>
        <v>#REF!</v>
      </c>
      <c r="F15" s="58" t="e">
        <f t="shared" si="4"/>
        <v>#REF!</v>
      </c>
      <c r="G15" s="59"/>
      <c r="H15" s="60" t="str">
        <f t="shared" si="5"/>
        <v xml:space="preserve"> - </v>
      </c>
      <c r="I15" s="61">
        <v>1</v>
      </c>
      <c r="J15" s="62" t="e">
        <f t="shared" si="2"/>
        <v>#REF!</v>
      </c>
      <c r="K15" s="63" t="str">
        <f t="shared" si="6"/>
        <v xml:space="preserve"> - </v>
      </c>
      <c r="L15" s="64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7"/>
      <c r="BR15" s="57"/>
      <c r="BS15" s="57"/>
    </row>
    <row r="16" spans="1:72" s="54" customFormat="1" ht="18" x14ac:dyDescent="0.3">
      <c r="A16" s="55" t="str">
        <f t="shared" si="3"/>
        <v>1.8</v>
      </c>
      <c r="B16" s="56" t="s">
        <v>844</v>
      </c>
      <c r="C16" s="57" t="s">
        <v>837</v>
      </c>
      <c r="D16" s="58" t="e">
        <f>COUNTIFS(#REF!,$B16,#REF!,$B$8,#REF!,"ใช้งาน")</f>
        <v>#REF!</v>
      </c>
      <c r="E16" s="58" t="e">
        <f>COUNTIFS(#REF!,$B16,#REF!,$B$8,#REF!,Dashboard!$E$7)</f>
        <v>#REF!</v>
      </c>
      <c r="F16" s="58" t="e">
        <f t="shared" si="4"/>
        <v>#REF!</v>
      </c>
      <c r="G16" s="59"/>
      <c r="H16" s="60" t="str">
        <f t="shared" si="5"/>
        <v xml:space="preserve"> - </v>
      </c>
      <c r="I16" s="61">
        <v>2</v>
      </c>
      <c r="J16" s="62" t="e">
        <f t="shared" si="2"/>
        <v>#REF!</v>
      </c>
      <c r="K16" s="63" t="str">
        <f t="shared" si="6"/>
        <v xml:space="preserve"> - </v>
      </c>
      <c r="L16" s="64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7"/>
      <c r="BR16" s="57"/>
      <c r="BS16" s="57"/>
    </row>
    <row r="17" spans="1:71" s="54" customFormat="1" ht="18" x14ac:dyDescent="0.3">
      <c r="A17" s="55" t="str">
        <f t="shared" si="3"/>
        <v>1.9</v>
      </c>
      <c r="B17" s="56" t="s">
        <v>845</v>
      </c>
      <c r="C17" s="57" t="s">
        <v>837</v>
      </c>
      <c r="D17" s="58" t="e">
        <f>COUNTIFS(#REF!,$B17,#REF!,$B$8,#REF!,"ใช้งาน")</f>
        <v>#REF!</v>
      </c>
      <c r="E17" s="58" t="e">
        <f>COUNTIFS(#REF!,$B17,#REF!,$B$8,#REF!,Dashboard!$E$7)</f>
        <v>#REF!</v>
      </c>
      <c r="F17" s="58" t="e">
        <f t="shared" si="4"/>
        <v>#REF!</v>
      </c>
      <c r="G17" s="59"/>
      <c r="H17" s="60" t="str">
        <f t="shared" si="5"/>
        <v xml:space="preserve"> - </v>
      </c>
      <c r="I17" s="66">
        <v>4</v>
      </c>
      <c r="J17" s="62" t="e">
        <f t="shared" si="2"/>
        <v>#REF!</v>
      </c>
      <c r="K17" s="63" t="str">
        <f t="shared" si="6"/>
        <v xml:space="preserve"> - </v>
      </c>
      <c r="L17" s="67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7"/>
      <c r="BR17" s="57"/>
      <c r="BS17" s="57"/>
    </row>
    <row r="18" spans="1:71" s="54" customFormat="1" ht="18" x14ac:dyDescent="0.3">
      <c r="A18" s="55" t="str">
        <f t="shared" si="3"/>
        <v>1.10</v>
      </c>
      <c r="B18" s="56" t="s">
        <v>846</v>
      </c>
      <c r="C18" s="57" t="s">
        <v>837</v>
      </c>
      <c r="D18" s="58" t="e">
        <f>COUNTIFS(#REF!,$B18,#REF!,$B$8,#REF!,"ใช้งาน")</f>
        <v>#REF!</v>
      </c>
      <c r="E18" s="58" t="e">
        <f>COUNTIFS(#REF!,$B18,#REF!,$B$8,#REF!,Dashboard!$E$7)</f>
        <v>#REF!</v>
      </c>
      <c r="F18" s="58" t="e">
        <f t="shared" si="4"/>
        <v>#REF!</v>
      </c>
      <c r="G18" s="59"/>
      <c r="H18" s="60" t="str">
        <f t="shared" si="5"/>
        <v xml:space="preserve"> - </v>
      </c>
      <c r="I18" s="66">
        <v>2</v>
      </c>
      <c r="J18" s="62" t="e">
        <f t="shared" si="2"/>
        <v>#REF!</v>
      </c>
      <c r="K18" s="63" t="str">
        <f t="shared" si="6"/>
        <v xml:space="preserve"> - </v>
      </c>
      <c r="L18" s="67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7"/>
      <c r="BR18" s="57"/>
      <c r="BS18" s="57"/>
    </row>
    <row r="19" spans="1:71" s="54" customFormat="1" ht="18" x14ac:dyDescent="0.3">
      <c r="A19" s="55" t="str">
        <f t="shared" si="3"/>
        <v>1.11</v>
      </c>
      <c r="B19" s="56" t="s">
        <v>847</v>
      </c>
      <c r="C19" s="57" t="s">
        <v>837</v>
      </c>
      <c r="D19" s="58" t="e">
        <f>COUNTIFS(#REF!,$B19,#REF!,$B$8,#REF!,"ใช้งาน")</f>
        <v>#REF!</v>
      </c>
      <c r="E19" s="58" t="e">
        <f>COUNTIFS(#REF!,$B19,#REF!,$B$8,#REF!,Dashboard!$E$7)</f>
        <v>#REF!</v>
      </c>
      <c r="F19" s="58" t="e">
        <f t="shared" si="4"/>
        <v>#REF!</v>
      </c>
      <c r="G19" s="59">
        <v>45889</v>
      </c>
      <c r="H19" s="60">
        <f t="shared" si="5"/>
        <v>45893</v>
      </c>
      <c r="I19" s="66">
        <v>5</v>
      </c>
      <c r="J19" s="62" t="e">
        <f>E19*100%/D19</f>
        <v>#REF!</v>
      </c>
      <c r="K19" s="63">
        <f t="shared" si="6"/>
        <v>3</v>
      </c>
      <c r="L19" s="67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7"/>
      <c r="BR19" s="57"/>
      <c r="BS19" s="57"/>
    </row>
    <row r="20" spans="1:71" s="54" customFormat="1" ht="18" x14ac:dyDescent="0.3">
      <c r="A20" s="42" t="str">
        <f>IF(ISERROR(VALUE(SUBSTITUTE(prevWBS,".",""))),"1",IF(ISERROR(FIND("`",SUBSTITUTE(prevWBS,".","`",1))),TEXT(VALUE(prevWBS)+1,"#"),TEXT(VALUE(LEFT(prevWBS,FIND("`",SUBSTITUTE(prevWBS,".","`",1))-1))+1,"#")))</f>
        <v>2</v>
      </c>
      <c r="B20" s="43" t="s">
        <v>818</v>
      </c>
      <c r="C20" s="44"/>
      <c r="D20" s="45" t="e">
        <f>SUM(D21)</f>
        <v>#REF!</v>
      </c>
      <c r="E20" s="45" t="e">
        <f t="shared" ref="E20" si="7">SUM(E21)</f>
        <v>#REF!</v>
      </c>
      <c r="F20" s="147" t="e">
        <f>SUM(F21)</f>
        <v>#REF!</v>
      </c>
      <c r="G20" s="46"/>
      <c r="H20" s="47" t="str">
        <f>IF(ISBLANK(G20)," - ",IF(I20=0,G20,G20+I20-1))</f>
        <v xml:space="preserve"> - </v>
      </c>
      <c r="I20" s="48">
        <f>SUM(I21:I21)</f>
        <v>10</v>
      </c>
      <c r="J20" s="49"/>
      <c r="K20" s="50" t="str">
        <f>IF(OR(H20=0,G20=0)," - ",NETWORKDAYS(G20,H20))</f>
        <v xml:space="preserve"> - </v>
      </c>
      <c r="L20" s="51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3"/>
      <c r="BR20" s="53"/>
      <c r="BS20" s="53"/>
    </row>
    <row r="21" spans="1:71" s="54" customFormat="1" ht="18" x14ac:dyDescent="0.3">
      <c r="A21" s="55" t="str">
        <f t="shared" si="3"/>
        <v>2.1</v>
      </c>
      <c r="B21" s="56" t="s">
        <v>842</v>
      </c>
      <c r="C21" s="57" t="s">
        <v>837</v>
      </c>
      <c r="D21" s="58" t="e">
        <f>COUNTIFS(#REF!,$B21,#REF!,$B$20,#REF!,"ใช้งาน")</f>
        <v>#REF!</v>
      </c>
      <c r="E21" s="58" t="e">
        <f>COUNTIFS(#REF!,$B21,#REF!,$B$20,#REF!,Dashboard!$E$7)</f>
        <v>#REF!</v>
      </c>
      <c r="F21" s="58" t="e">
        <f>D21-E21</f>
        <v>#REF!</v>
      </c>
      <c r="G21" s="59">
        <v>45875</v>
      </c>
      <c r="H21" s="60">
        <f t="shared" ref="H21" si="8">IF(ISBLANK(G21)," - ",IF(I21=0,G21,G21+I21-1))</f>
        <v>45884</v>
      </c>
      <c r="I21" s="61">
        <v>10</v>
      </c>
      <c r="J21" s="62" t="e">
        <f t="shared" ref="J21" si="9">E21*100%/D21</f>
        <v>#REF!</v>
      </c>
      <c r="K21" s="63">
        <f t="shared" ref="K21" si="10">IF(OR(H21=0,G21=0)," - ",NETWORKDAYS(G21,H21))</f>
        <v>8</v>
      </c>
      <c r="L21" s="64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7"/>
      <c r="BR21" s="57"/>
      <c r="BS21" s="57"/>
    </row>
    <row r="22" spans="1:71" s="54" customFormat="1" ht="18" x14ac:dyDescent="0.3">
      <c r="A22" s="109" t="str">
        <f>IF(ISERROR(VALUE(SUBSTITUTE(prevWBS,".",""))),"1",IF(ISERROR(FIND("`",SUBSTITUTE(prevWBS,".","`",1))),TEXT(VALUE(prevWBS)+1,"#"),TEXT(VALUE(LEFT(prevWBS,FIND("`",SUBSTITUTE(prevWBS,".","`",1))-1))+1,"#")))</f>
        <v>3</v>
      </c>
      <c r="B22" s="110" t="s">
        <v>848</v>
      </c>
      <c r="C22" s="111"/>
      <c r="D22" s="112" t="e">
        <f t="shared" ref="D22:F22" si="11">SUM(D23:D24)</f>
        <v>#REF!</v>
      </c>
      <c r="E22" s="112" t="e">
        <f t="shared" si="11"/>
        <v>#REF!</v>
      </c>
      <c r="F22" s="112" t="e">
        <f t="shared" si="11"/>
        <v>#REF!</v>
      </c>
      <c r="G22" s="113"/>
      <c r="H22" s="114" t="str">
        <f>IF(ISBLANK(G22)," - ",IF(I22=0,G22,G22+I22-1))</f>
        <v xml:space="preserve"> - </v>
      </c>
      <c r="I22" s="115"/>
      <c r="J22" s="116"/>
      <c r="K22" s="117" t="str">
        <f>IF(OR(H22=0,G22=0)," - ",NETWORKDAYS(G22,H22))</f>
        <v xml:space="preserve"> - </v>
      </c>
      <c r="L22" s="118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20"/>
      <c r="BR22" s="120"/>
      <c r="BS22" s="120"/>
    </row>
    <row r="23" spans="1:71" s="54" customFormat="1" ht="18" x14ac:dyDescent="0.3">
      <c r="A23" s="55" t="str">
        <f t="shared" si="3"/>
        <v>3.1</v>
      </c>
      <c r="B23" s="56" t="s">
        <v>849</v>
      </c>
      <c r="C23" s="57" t="s">
        <v>837</v>
      </c>
      <c r="D23" s="58" t="e">
        <f>COUNTIFS(#REF!,$B23,#REF!,$B$22,#REF!,"ใช้งาน")</f>
        <v>#REF!</v>
      </c>
      <c r="E23" s="58" t="e">
        <f>COUNTIFS(#REF!,$B23,#REF!,$B$22,#REF!,Dashboard!$E$7)</f>
        <v>#REF!</v>
      </c>
      <c r="F23" s="58" t="e">
        <f>D23-E23</f>
        <v>#REF!</v>
      </c>
      <c r="G23" s="59">
        <v>45887</v>
      </c>
      <c r="H23" s="60">
        <f t="shared" ref="H23" si="12">IF(ISBLANK(G23)," - ",IF(I23=0,G23,G23+I23-1))</f>
        <v>45887</v>
      </c>
      <c r="I23" s="61">
        <v>1</v>
      </c>
      <c r="J23" s="62" t="e">
        <f t="shared" ref="J23" si="13">E23*100%/D23</f>
        <v>#REF!</v>
      </c>
      <c r="K23" s="63">
        <f t="shared" ref="K23" si="14">IF(OR(H23=0,G23=0)," - ",NETWORKDAYS(G23,H23))</f>
        <v>1</v>
      </c>
      <c r="L23" s="64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7"/>
      <c r="BR23" s="57"/>
      <c r="BS23" s="57"/>
    </row>
    <row r="24" spans="1:71" s="54" customFormat="1" ht="18" x14ac:dyDescent="0.3">
      <c r="A24" s="55" t="str">
        <f t="shared" si="3"/>
        <v>3.2</v>
      </c>
      <c r="B24" s="56" t="s">
        <v>850</v>
      </c>
      <c r="C24" s="57" t="s">
        <v>837</v>
      </c>
      <c r="D24" s="58" t="e">
        <f>COUNTIFS(#REF!,$B24,#REF!,$B$22,#REF!,"ใช้งาน")</f>
        <v>#REF!</v>
      </c>
      <c r="E24" s="58" t="e">
        <f>COUNTIFS(#REF!,$B24,#REF!,$B$22,#REF!,Dashboard!$E$7)</f>
        <v>#REF!</v>
      </c>
      <c r="F24" s="58" t="e">
        <f>D24-E24</f>
        <v>#REF!</v>
      </c>
      <c r="G24" s="59">
        <v>45888</v>
      </c>
      <c r="H24" s="60">
        <f t="shared" ref="H24" si="15">IF(ISBLANK(G24)," - ",IF(I24=0,G24,G24+I24-1))</f>
        <v>45888</v>
      </c>
      <c r="I24" s="61">
        <v>1</v>
      </c>
      <c r="J24" s="62" t="e">
        <f t="shared" ref="J24" si="16">E24*100%/D24</f>
        <v>#REF!</v>
      </c>
      <c r="K24" s="63">
        <f t="shared" ref="K24" si="17">IF(OR(H24=0,G24=0)," - ",NETWORKDAYS(G24,H24))</f>
        <v>1</v>
      </c>
      <c r="L24" s="64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7"/>
      <c r="BR24" s="57"/>
      <c r="BS24" s="57"/>
    </row>
    <row r="25" spans="1:71" s="54" customFormat="1" ht="18" x14ac:dyDescent="0.3">
      <c r="A25" s="68" t="str">
        <f>IF(ISERROR(VALUE(SUBSTITUTE(prevWBS,".",""))),"1",IF(ISERROR(FIND("`",SUBSTITUTE(prevWBS,".","`",1))),TEXT(VALUE(prevWBS)+1,"#"),TEXT(VALUE(LEFT(prevWBS,FIND("`",SUBSTITUTE(prevWBS,".","`",1))-1))+1,"#")))</f>
        <v>4</v>
      </c>
      <c r="B25" s="69" t="s">
        <v>851</v>
      </c>
      <c r="C25" s="70"/>
      <c r="D25" s="71" t="e">
        <f>SUM(D26:D35)</f>
        <v>#REF!</v>
      </c>
      <c r="E25" s="71" t="e">
        <f>SUM(E26:E35)</f>
        <v>#REF!</v>
      </c>
      <c r="F25" s="145" t="e">
        <f t="shared" ref="F25" si="18">SUM(F26:F35)</f>
        <v>#REF!</v>
      </c>
      <c r="G25" s="72"/>
      <c r="H25" s="72" t="str">
        <f t="shared" si="5"/>
        <v xml:space="preserve"> - </v>
      </c>
      <c r="I25" s="73">
        <f>SUM(I26:I35)</f>
        <v>29</v>
      </c>
      <c r="J25" s="74"/>
      <c r="K25" s="75" t="str">
        <f>IF(OR(H25=0,G25=0)," - ",NETWORKDAYS(G25,H25))</f>
        <v xml:space="preserve"> - </v>
      </c>
      <c r="L25" s="76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0"/>
      <c r="BR25" s="70"/>
      <c r="BS25" s="70"/>
    </row>
    <row r="26" spans="1:71" s="54" customFormat="1" ht="18" x14ac:dyDescent="0.3">
      <c r="A26" s="55" t="str">
        <f t="shared" ref="A26:A35" si="19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4.1</v>
      </c>
      <c r="B26" s="56" t="s">
        <v>836</v>
      </c>
      <c r="C26" s="57" t="s">
        <v>837</v>
      </c>
      <c r="D26" s="58" t="e">
        <f>COUNTIFS(#REF!,$B26,#REF!,$B$25,#REF!,"ใช้งาน")</f>
        <v>#REF!</v>
      </c>
      <c r="E26" s="58" t="e">
        <f>COUNTIFS(#REF!,$B26,#REF!,$B$25,#REF!,Dashboard!$E$7)</f>
        <v>#REF!</v>
      </c>
      <c r="F26" s="58" t="e">
        <f>D26-E26</f>
        <v>#REF!</v>
      </c>
      <c r="G26" s="59">
        <v>45819</v>
      </c>
      <c r="H26" s="60">
        <f t="shared" si="5"/>
        <v>45833</v>
      </c>
      <c r="I26" s="61">
        <v>15</v>
      </c>
      <c r="J26" s="62" t="e">
        <f>E26*100%/D26</f>
        <v>#REF!</v>
      </c>
      <c r="K26" s="63">
        <f t="shared" si="6"/>
        <v>11</v>
      </c>
      <c r="L26" s="64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7"/>
      <c r="BR26" s="57"/>
      <c r="BS26" s="57"/>
    </row>
    <row r="27" spans="1:71" s="54" customFormat="1" ht="18" x14ac:dyDescent="0.3">
      <c r="A27" s="55" t="str">
        <f t="shared" si="19"/>
        <v>4.2</v>
      </c>
      <c r="B27" s="56" t="s">
        <v>852</v>
      </c>
      <c r="C27" s="57" t="s">
        <v>837</v>
      </c>
      <c r="D27" s="58" t="e">
        <f>COUNTIFS(#REF!,$B27,#REF!,$B$25,#REF!,"ใช้งาน")</f>
        <v>#REF!</v>
      </c>
      <c r="E27" s="58" t="e">
        <f>COUNTIFS(#REF!,$B27,#REF!,$B$25,#REF!,Dashboard!$E$7)</f>
        <v>#REF!</v>
      </c>
      <c r="F27" s="58" t="e">
        <f t="shared" ref="F27:F33" si="20">D27-E27</f>
        <v>#REF!</v>
      </c>
      <c r="G27" s="59">
        <v>45834</v>
      </c>
      <c r="H27" s="60">
        <f t="shared" si="5"/>
        <v>45835</v>
      </c>
      <c r="I27" s="61">
        <v>2</v>
      </c>
      <c r="J27" s="62" t="e">
        <f t="shared" ref="J27:J38" si="21">E27*100%/D27</f>
        <v>#REF!</v>
      </c>
      <c r="K27" s="63">
        <f t="shared" si="6"/>
        <v>2</v>
      </c>
      <c r="L27" s="64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7"/>
      <c r="BR27" s="57"/>
      <c r="BS27" s="57"/>
    </row>
    <row r="28" spans="1:71" s="54" customFormat="1" ht="18" x14ac:dyDescent="0.3">
      <c r="A28" s="55" t="str">
        <f t="shared" si="19"/>
        <v>4.3</v>
      </c>
      <c r="B28" s="56" t="s">
        <v>853</v>
      </c>
      <c r="C28" s="57" t="s">
        <v>837</v>
      </c>
      <c r="D28" s="58" t="e">
        <f>COUNTIFS(#REF!,$B28,#REF!,$B$25,#REF!,"ใช้งาน")</f>
        <v>#REF!</v>
      </c>
      <c r="E28" s="58" t="e">
        <f>COUNTIFS(#REF!,$B28,#REF!,$B$25,#REF!,Dashboard!$E$7)</f>
        <v>#REF!</v>
      </c>
      <c r="F28" s="58" t="e">
        <f t="shared" si="20"/>
        <v>#REF!</v>
      </c>
      <c r="G28" s="59">
        <v>45838</v>
      </c>
      <c r="H28" s="60">
        <f t="shared" si="5"/>
        <v>45838</v>
      </c>
      <c r="I28" s="61">
        <v>1</v>
      </c>
      <c r="J28" s="62" t="e">
        <f t="shared" si="21"/>
        <v>#REF!</v>
      </c>
      <c r="K28" s="63">
        <f t="shared" si="6"/>
        <v>1</v>
      </c>
      <c r="L28" s="64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7"/>
      <c r="BR28" s="57"/>
      <c r="BS28" s="57"/>
    </row>
    <row r="29" spans="1:71" s="54" customFormat="1" ht="18" x14ac:dyDescent="0.3">
      <c r="A29" s="55" t="str">
        <f t="shared" si="19"/>
        <v>4.4</v>
      </c>
      <c r="B29" s="56" t="s">
        <v>854</v>
      </c>
      <c r="C29" s="57" t="s">
        <v>837</v>
      </c>
      <c r="D29" s="58" t="e">
        <f>COUNTIFS(#REF!,$B29,#REF!,$B$25,#REF!,"ใช้งาน")</f>
        <v>#REF!</v>
      </c>
      <c r="E29" s="58" t="e">
        <f>COUNTIFS(#REF!,$B29,#REF!,$B$25,#REF!,Dashboard!$E$7)</f>
        <v>#REF!</v>
      </c>
      <c r="F29" s="58" t="e">
        <f t="shared" si="20"/>
        <v>#REF!</v>
      </c>
      <c r="G29" s="59">
        <v>45838</v>
      </c>
      <c r="H29" s="60">
        <f t="shared" si="5"/>
        <v>45838</v>
      </c>
      <c r="I29" s="61">
        <v>1</v>
      </c>
      <c r="J29" s="62" t="e">
        <f t="shared" si="21"/>
        <v>#REF!</v>
      </c>
      <c r="K29" s="63">
        <f t="shared" si="6"/>
        <v>1</v>
      </c>
      <c r="L29" s="64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7"/>
      <c r="BR29" s="57"/>
      <c r="BS29" s="57"/>
    </row>
    <row r="30" spans="1:71" s="54" customFormat="1" ht="18" x14ac:dyDescent="0.3">
      <c r="A30" s="55" t="str">
        <f t="shared" si="19"/>
        <v>4.5</v>
      </c>
      <c r="B30" s="56" t="s">
        <v>855</v>
      </c>
      <c r="C30" s="57" t="s">
        <v>837</v>
      </c>
      <c r="D30" s="58" t="e">
        <f>COUNTIFS(#REF!,$B30,#REF!,$B$25,#REF!,"ใช้งาน")</f>
        <v>#REF!</v>
      </c>
      <c r="E30" s="58" t="e">
        <f>COUNTIFS(#REF!,$B30,#REF!,$B$25,#REF!,Dashboard!$E$7)</f>
        <v>#REF!</v>
      </c>
      <c r="F30" s="58" t="e">
        <f t="shared" si="20"/>
        <v>#REF!</v>
      </c>
      <c r="G30" s="59">
        <v>45839</v>
      </c>
      <c r="H30" s="60">
        <f t="shared" si="5"/>
        <v>45840</v>
      </c>
      <c r="I30" s="61">
        <v>2</v>
      </c>
      <c r="J30" s="62" t="e">
        <f t="shared" si="21"/>
        <v>#REF!</v>
      </c>
      <c r="K30" s="63">
        <f t="shared" si="6"/>
        <v>2</v>
      </c>
      <c r="L30" s="64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7"/>
      <c r="BR30" s="57"/>
      <c r="BS30" s="57"/>
    </row>
    <row r="31" spans="1:71" s="54" customFormat="1" ht="18" x14ac:dyDescent="0.3">
      <c r="A31" s="55" t="str">
        <f t="shared" si="19"/>
        <v>4.6</v>
      </c>
      <c r="B31" s="56" t="s">
        <v>838</v>
      </c>
      <c r="C31" s="57" t="s">
        <v>837</v>
      </c>
      <c r="D31" s="58" t="e">
        <f>COUNTIFS(#REF!,$B31,#REF!,$B$25,#REF!,"ใช้งาน")</f>
        <v>#REF!</v>
      </c>
      <c r="E31" s="58" t="e">
        <f>COUNTIFS(#REF!,$B31,#REF!,$B$25,#REF!,Dashboard!$E$7)</f>
        <v>#REF!</v>
      </c>
      <c r="F31" s="58" t="e">
        <f t="shared" si="20"/>
        <v>#REF!</v>
      </c>
      <c r="G31" s="59">
        <v>45841</v>
      </c>
      <c r="H31" s="60">
        <f t="shared" si="5"/>
        <v>45842</v>
      </c>
      <c r="I31" s="61">
        <v>2</v>
      </c>
      <c r="J31" s="62" t="e">
        <f t="shared" si="21"/>
        <v>#REF!</v>
      </c>
      <c r="K31" s="63">
        <f t="shared" si="6"/>
        <v>2</v>
      </c>
      <c r="L31" s="64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7"/>
      <c r="BR31" s="57"/>
      <c r="BS31" s="57"/>
    </row>
    <row r="32" spans="1:71" s="54" customFormat="1" ht="18" x14ac:dyDescent="0.3">
      <c r="A32" s="55" t="str">
        <f t="shared" si="19"/>
        <v>4.7</v>
      </c>
      <c r="B32" s="56" t="s">
        <v>846</v>
      </c>
      <c r="C32" s="57" t="s">
        <v>837</v>
      </c>
      <c r="D32" s="58" t="e">
        <f>COUNTIFS(#REF!,$B32,#REF!,$B$25,#REF!,"ใช้งาน")</f>
        <v>#REF!</v>
      </c>
      <c r="E32" s="58" t="e">
        <f>COUNTIFS(#REF!,$B32,#REF!,$B$25,#REF!,Dashboard!$E$7)</f>
        <v>#REF!</v>
      </c>
      <c r="F32" s="58" t="e">
        <f t="shared" si="20"/>
        <v>#REF!</v>
      </c>
      <c r="G32" s="59">
        <v>45845</v>
      </c>
      <c r="H32" s="60">
        <f t="shared" si="5"/>
        <v>45846</v>
      </c>
      <c r="I32" s="61">
        <v>2</v>
      </c>
      <c r="J32" s="62" t="e">
        <f t="shared" si="21"/>
        <v>#REF!</v>
      </c>
      <c r="K32" s="63">
        <f t="shared" si="6"/>
        <v>2</v>
      </c>
      <c r="L32" s="64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7"/>
      <c r="BR32" s="57"/>
      <c r="BS32" s="57"/>
    </row>
    <row r="33" spans="1:71" s="54" customFormat="1" ht="18" x14ac:dyDescent="0.3">
      <c r="A33" s="55" t="str">
        <f t="shared" si="19"/>
        <v>4.8</v>
      </c>
      <c r="B33" s="56" t="s">
        <v>847</v>
      </c>
      <c r="C33" s="57" t="s">
        <v>837</v>
      </c>
      <c r="D33" s="58" t="e">
        <f>COUNTIFS(#REF!,$B33,#REF!,$B$25,#REF!,"ใช้งาน")</f>
        <v>#REF!</v>
      </c>
      <c r="E33" s="58" t="e">
        <f>COUNTIFS(#REF!,$B33,#REF!,$B$25,#REF!,Dashboard!$E$7)</f>
        <v>#REF!</v>
      </c>
      <c r="F33" s="58" t="e">
        <f t="shared" si="20"/>
        <v>#REF!</v>
      </c>
      <c r="G33" s="59">
        <v>45847</v>
      </c>
      <c r="H33" s="60">
        <f t="shared" si="5"/>
        <v>45848</v>
      </c>
      <c r="I33" s="61">
        <v>2</v>
      </c>
      <c r="J33" s="62" t="e">
        <f t="shared" si="21"/>
        <v>#REF!</v>
      </c>
      <c r="K33" s="63">
        <f t="shared" si="6"/>
        <v>2</v>
      </c>
      <c r="L33" s="64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7"/>
      <c r="BR33" s="57"/>
      <c r="BS33" s="57"/>
    </row>
    <row r="34" spans="1:71" s="54" customFormat="1" ht="18" x14ac:dyDescent="0.3">
      <c r="A34" s="55" t="str">
        <f t="shared" si="19"/>
        <v>4.9</v>
      </c>
      <c r="B34" s="56" t="s">
        <v>840</v>
      </c>
      <c r="C34" s="57" t="s">
        <v>837</v>
      </c>
      <c r="D34" s="58" t="e">
        <f>COUNTIFS(#REF!,$B34,#REF!,$B$25,#REF!,"ใช้งาน")</f>
        <v>#REF!</v>
      </c>
      <c r="E34" s="58" t="e">
        <f>COUNTIFS(#REF!,$B34,#REF!,$B$25,#REF!,Dashboard!$E$7)</f>
        <v>#REF!</v>
      </c>
      <c r="F34" s="58" t="e">
        <f>D34-E34</f>
        <v>#REF!</v>
      </c>
      <c r="G34" s="59">
        <v>45849</v>
      </c>
      <c r="H34" s="60">
        <f t="shared" si="5"/>
        <v>45849</v>
      </c>
      <c r="I34" s="61">
        <v>1</v>
      </c>
      <c r="J34" s="62" t="e">
        <f t="shared" si="21"/>
        <v>#REF!</v>
      </c>
      <c r="K34" s="63">
        <f t="shared" si="6"/>
        <v>1</v>
      </c>
      <c r="L34" s="67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7"/>
      <c r="BR34" s="57"/>
      <c r="BS34" s="57"/>
    </row>
    <row r="35" spans="1:71" s="54" customFormat="1" ht="18" x14ac:dyDescent="0.3">
      <c r="A35" s="55" t="str">
        <f t="shared" si="19"/>
        <v>4.10</v>
      </c>
      <c r="B35" s="56" t="s">
        <v>843</v>
      </c>
      <c r="C35" s="57" t="s">
        <v>837</v>
      </c>
      <c r="D35" s="58" t="e">
        <f>COUNTIFS(#REF!,$B35,#REF!,$B$25,#REF!,"ใช้งาน")</f>
        <v>#REF!</v>
      </c>
      <c r="E35" s="58" t="e">
        <f>COUNTIFS(#REF!,$B35,#REF!,$B$25,#REF!,Dashboard!$E$7)</f>
        <v>#REF!</v>
      </c>
      <c r="F35" s="58" t="e">
        <f>D35-E35</f>
        <v>#REF!</v>
      </c>
      <c r="G35" s="59">
        <v>45849</v>
      </c>
      <c r="H35" s="60">
        <f t="shared" si="5"/>
        <v>45849</v>
      </c>
      <c r="I35" s="61">
        <v>1</v>
      </c>
      <c r="J35" s="62" t="e">
        <f t="shared" si="21"/>
        <v>#REF!</v>
      </c>
      <c r="K35" s="63">
        <f t="shared" si="6"/>
        <v>1</v>
      </c>
      <c r="L35" s="67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7"/>
      <c r="BR35" s="57"/>
      <c r="BS35" s="57"/>
    </row>
    <row r="36" spans="1:71" s="54" customFormat="1" ht="18" x14ac:dyDescent="0.3">
      <c r="A36" s="78" t="str">
        <f>IF(ISERROR(VALUE(SUBSTITUTE(prevWBS,".",""))),"1",IF(ISERROR(FIND("`",SUBSTITUTE(prevWBS,".","`",1))),TEXT(VALUE(prevWBS)+1,"#"),TEXT(VALUE(LEFT(prevWBS,FIND("`",SUBSTITUTE(prevWBS,".","`",1))-1))+1,"#")))</f>
        <v>5</v>
      </c>
      <c r="B36" s="79" t="s">
        <v>856</v>
      </c>
      <c r="C36" s="80"/>
      <c r="D36" s="81" t="e">
        <f>SUM(D37:D39)</f>
        <v>#REF!</v>
      </c>
      <c r="E36" s="81">
        <f t="shared" ref="E36:F36" ca="1" si="22">SUM(E37:E39)</f>
        <v>0</v>
      </c>
      <c r="F36" s="148">
        <f t="shared" ca="1" si="22"/>
        <v>0</v>
      </c>
      <c r="G36" s="82"/>
      <c r="H36" s="82" t="str">
        <f t="shared" si="5"/>
        <v xml:space="preserve"> - </v>
      </c>
      <c r="I36" s="83">
        <f>SUM(I37:I39)</f>
        <v>7</v>
      </c>
      <c r="J36" s="84"/>
      <c r="K36" s="85" t="str">
        <f t="shared" si="6"/>
        <v xml:space="preserve"> - </v>
      </c>
      <c r="L36" s="86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0"/>
      <c r="BR36" s="80"/>
      <c r="BS36" s="80"/>
    </row>
    <row r="37" spans="1:71" s="54" customFormat="1" ht="18" x14ac:dyDescent="0.3">
      <c r="A37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5.1</v>
      </c>
      <c r="B37" s="56" t="s">
        <v>857</v>
      </c>
      <c r="C37" s="57" t="s">
        <v>837</v>
      </c>
      <c r="D37" s="58" t="e">
        <f>COUNTIFS(#REF!,$B37,#REF!,$B$36,#REF!,"ใช้งาน")</f>
        <v>#REF!</v>
      </c>
      <c r="E37" s="58">
        <f ca="1">COUNTIFS(#REF!,$B37,#REF!,$B$36,#REF!,Dashboard!$E$7)+F37</f>
        <v>0</v>
      </c>
      <c r="F37" s="58">
        <f ca="1">D37-E37</f>
        <v>0</v>
      </c>
      <c r="G37" s="59"/>
      <c r="H37" s="60" t="str">
        <f t="shared" si="5"/>
        <v xml:space="preserve"> - </v>
      </c>
      <c r="I37" s="61">
        <v>5</v>
      </c>
      <c r="J37" s="62">
        <f t="shared" ca="1" si="21"/>
        <v>0</v>
      </c>
      <c r="K37" s="63" t="str">
        <f t="shared" si="6"/>
        <v xml:space="preserve"> - </v>
      </c>
      <c r="L37" s="64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7"/>
      <c r="BR37" s="57"/>
      <c r="BS37" s="57"/>
    </row>
    <row r="38" spans="1:71" s="54" customFormat="1" ht="18" x14ac:dyDescent="0.3">
      <c r="A38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5.2</v>
      </c>
      <c r="B38" s="56" t="s">
        <v>836</v>
      </c>
      <c r="C38" s="57" t="s">
        <v>837</v>
      </c>
      <c r="D38" s="58" t="e">
        <f>COUNTIFS(#REF!,$B38,#REF!,$B$36,#REF!,"ใช้งาน")</f>
        <v>#REF!</v>
      </c>
      <c r="E38" s="58">
        <f ca="1">COUNTIFS(#REF!,$B38,#REF!,$B$36,#REF!,Dashboard!$E$7)+F38</f>
        <v>0</v>
      </c>
      <c r="F38" s="58">
        <f t="shared" ref="F38:F39" ca="1" si="23">D38-E38</f>
        <v>0</v>
      </c>
      <c r="G38" s="59"/>
      <c r="H38" s="60" t="str">
        <f t="shared" si="5"/>
        <v xml:space="preserve"> - </v>
      </c>
      <c r="I38" s="61">
        <v>1</v>
      </c>
      <c r="J38" s="62">
        <f t="shared" ca="1" si="21"/>
        <v>0</v>
      </c>
      <c r="K38" s="63" t="str">
        <f t="shared" si="6"/>
        <v xml:space="preserve"> - </v>
      </c>
      <c r="L38" s="64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7"/>
      <c r="BR38" s="57"/>
      <c r="BS38" s="57"/>
    </row>
    <row r="39" spans="1:71" s="54" customFormat="1" ht="18" x14ac:dyDescent="0.3">
      <c r="A39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5.3</v>
      </c>
      <c r="B39" s="56" t="s">
        <v>858</v>
      </c>
      <c r="C39" s="57" t="s">
        <v>837</v>
      </c>
      <c r="D39" s="58" t="e">
        <f>COUNTIFS(#REF!,$B39,#REF!,$B$36,#REF!,"ใช้งาน")</f>
        <v>#REF!</v>
      </c>
      <c r="E39" s="58">
        <f ca="1">COUNTIFS(#REF!,$B39,#REF!,$B$36,#REF!,Dashboard!$E$7)+F39</f>
        <v>0</v>
      </c>
      <c r="F39" s="58">
        <f t="shared" ca="1" si="23"/>
        <v>0</v>
      </c>
      <c r="G39" s="59"/>
      <c r="H39" s="60" t="str">
        <f t="shared" si="5"/>
        <v xml:space="preserve"> - </v>
      </c>
      <c r="I39" s="61">
        <v>1</v>
      </c>
      <c r="J39" s="62">
        <f ca="1">E39*100%/D39</f>
        <v>0</v>
      </c>
      <c r="K39" s="63" t="str">
        <f t="shared" si="6"/>
        <v xml:space="preserve"> - </v>
      </c>
      <c r="L39" s="64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7"/>
      <c r="BR39" s="57"/>
      <c r="BS39" s="57"/>
    </row>
    <row r="40" spans="1:71" s="54" customFormat="1" ht="18" x14ac:dyDescent="0.3">
      <c r="A40" s="88" t="str">
        <f>IF(ISERROR(VALUE(SUBSTITUTE(prevWBS,".",""))),"1",IF(ISERROR(FIND("`",SUBSTITUTE(prevWBS,".","`",1))),TEXT(VALUE(prevWBS)+1,"#"),TEXT(VALUE(LEFT(prevWBS,FIND("`",SUBSTITUTE(prevWBS,".","`",1))-1))+1,"#")))</f>
        <v>6</v>
      </c>
      <c r="B40" s="89" t="s">
        <v>859</v>
      </c>
      <c r="C40" s="90"/>
      <c r="D40" s="91" t="e">
        <f>SUM(D41:D42)</f>
        <v>#REF!</v>
      </c>
      <c r="E40" s="91" t="e">
        <f t="shared" ref="E40:F40" si="24">SUM(E41:E42)</f>
        <v>#REF!</v>
      </c>
      <c r="F40" s="149">
        <f t="shared" si="24"/>
        <v>0</v>
      </c>
      <c r="G40" s="92"/>
      <c r="H40" s="92" t="str">
        <f t="shared" si="5"/>
        <v xml:space="preserve"> - </v>
      </c>
      <c r="I40" s="93"/>
      <c r="J40" s="94"/>
      <c r="K40" s="95" t="str">
        <f t="shared" si="6"/>
        <v xml:space="preserve"> - </v>
      </c>
      <c r="L40" s="96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0"/>
      <c r="BR40" s="90"/>
      <c r="BS40" s="90"/>
    </row>
    <row r="41" spans="1:71" s="54" customFormat="1" ht="15.6" x14ac:dyDescent="0.3">
      <c r="A41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6.1</v>
      </c>
      <c r="B41" s="56" t="s">
        <v>860</v>
      </c>
      <c r="C41" s="57" t="s">
        <v>837</v>
      </c>
      <c r="D41" s="58" t="e">
        <f>COUNTIFS(#REF!,$B41,#REF!,$B$40,#REF!,"ใช้งาน")</f>
        <v>#REF!</v>
      </c>
      <c r="E41" s="58" t="e">
        <f>COUNTIFS(#REF!,$B41,#REF!,$B$40,#REF!,Dashboard!$E$7)+F41</f>
        <v>#REF!</v>
      </c>
      <c r="F41" s="58"/>
      <c r="G41" s="59"/>
      <c r="H41" s="60" t="str">
        <f t="shared" si="5"/>
        <v xml:space="preserve"> - </v>
      </c>
      <c r="I41" s="61">
        <v>1</v>
      </c>
      <c r="J41" s="62" t="e">
        <f>E41*100%/D41</f>
        <v>#REF!</v>
      </c>
      <c r="K41" s="63" t="str">
        <f t="shared" si="6"/>
        <v xml:space="preserve"> - </v>
      </c>
      <c r="L41" s="98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7"/>
      <c r="BR41" s="57"/>
      <c r="BS41" s="57"/>
    </row>
    <row r="42" spans="1:71" s="54" customFormat="1" ht="18" x14ac:dyDescent="0.3">
      <c r="A42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6.2</v>
      </c>
      <c r="B42" s="56" t="s">
        <v>836</v>
      </c>
      <c r="C42" s="57" t="s">
        <v>837</v>
      </c>
      <c r="D42" s="58" t="e">
        <f>COUNTIFS(#REF!,$B42,#REF!,$B$40,#REF!,"ใช้งาน")</f>
        <v>#REF!</v>
      </c>
      <c r="E42" s="58" t="e">
        <f>COUNTIFS(#REF!,$B42,#REF!,$B$40,#REF!,Dashboard!$E$7)+F42</f>
        <v>#REF!</v>
      </c>
      <c r="F42" s="58"/>
      <c r="G42" s="59"/>
      <c r="H42" s="60" t="str">
        <f t="shared" si="5"/>
        <v xml:space="preserve"> - </v>
      </c>
      <c r="I42" s="61">
        <v>1</v>
      </c>
      <c r="J42" s="62" t="e">
        <f>E42*100%/D42</f>
        <v>#REF!</v>
      </c>
      <c r="K42" s="63" t="str">
        <f t="shared" si="6"/>
        <v xml:space="preserve"> - </v>
      </c>
      <c r="L42" s="64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7"/>
      <c r="BR42" s="57"/>
      <c r="BS42" s="57"/>
    </row>
    <row r="43" spans="1:71" s="54" customFormat="1" ht="18" x14ac:dyDescent="0.3">
      <c r="A43" s="99" t="str">
        <f>IF(ISERROR(VALUE(SUBSTITUTE(prevWBS,".",""))),"1",IF(ISERROR(FIND("`",SUBSTITUTE(prevWBS,".","`",1))),TEXT(VALUE(prevWBS)+1,"#"),TEXT(VALUE(LEFT(prevWBS,FIND("`",SUBSTITUTE(prevWBS,".","`",1))-1))+1,"#")))</f>
        <v>7</v>
      </c>
      <c r="B43" s="100" t="s">
        <v>861</v>
      </c>
      <c r="C43" s="101"/>
      <c r="D43" s="102" t="e">
        <f>SUM(D44:D46)</f>
        <v>#REF!</v>
      </c>
      <c r="E43" s="102"/>
      <c r="F43" s="150"/>
      <c r="G43" s="103"/>
      <c r="H43" s="103" t="str">
        <f t="shared" si="5"/>
        <v xml:space="preserve"> - </v>
      </c>
      <c r="I43" s="104"/>
      <c r="J43" s="105"/>
      <c r="K43" s="106" t="str">
        <f t="shared" si="6"/>
        <v xml:space="preserve"> - </v>
      </c>
      <c r="L43" s="107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1"/>
      <c r="BR43" s="101"/>
      <c r="BS43" s="101"/>
    </row>
    <row r="44" spans="1:71" s="54" customFormat="1" ht="18" x14ac:dyDescent="0.3">
      <c r="A44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7.1</v>
      </c>
      <c r="B44" s="56" t="s">
        <v>857</v>
      </c>
      <c r="C44" s="57" t="s">
        <v>837</v>
      </c>
      <c r="D44" s="58" t="e">
        <f>COUNTIFS(#REF!,$B44,#REF!,$B$43,#REF!,"ใช้งาน")</f>
        <v>#REF!</v>
      </c>
      <c r="E44" s="58" t="e">
        <f>COUNTIFS(#REF!,$B44,#REF!,$B$43,#REF!,Dashboard!$E$7)</f>
        <v>#REF!</v>
      </c>
      <c r="F44" s="58"/>
      <c r="G44" s="59"/>
      <c r="H44" s="60" t="str">
        <f t="shared" si="5"/>
        <v xml:space="preserve"> - </v>
      </c>
      <c r="I44" s="61">
        <v>2</v>
      </c>
      <c r="J44" s="62" t="e">
        <f>E44*100%/D44</f>
        <v>#REF!</v>
      </c>
      <c r="K44" s="63" t="str">
        <f t="shared" si="6"/>
        <v xml:space="preserve"> - </v>
      </c>
      <c r="L44" s="64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7"/>
      <c r="BR44" s="57"/>
      <c r="BS44" s="57"/>
    </row>
    <row r="45" spans="1:71" s="54" customFormat="1" ht="18" x14ac:dyDescent="0.3">
      <c r="A45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7.2</v>
      </c>
      <c r="B45" s="56" t="s">
        <v>843</v>
      </c>
      <c r="C45" s="57" t="s">
        <v>837</v>
      </c>
      <c r="D45" s="58" t="e">
        <f>COUNTIFS(#REF!,$B45,#REF!,$B$43,#REF!,"ใช้งาน")</f>
        <v>#REF!</v>
      </c>
      <c r="E45" s="58" t="e">
        <f>COUNTIFS(#REF!,$B45,#REF!,$B$43,#REF!,Dashboard!$E$7)</f>
        <v>#REF!</v>
      </c>
      <c r="F45" s="58"/>
      <c r="G45" s="59"/>
      <c r="H45" s="60" t="str">
        <f t="shared" si="5"/>
        <v xml:space="preserve"> - </v>
      </c>
      <c r="I45" s="61">
        <v>1</v>
      </c>
      <c r="J45" s="62" t="e">
        <f t="shared" ref="J45:J64" si="25">E45*100%/D45</f>
        <v>#REF!</v>
      </c>
      <c r="K45" s="63" t="str">
        <f t="shared" si="6"/>
        <v xml:space="preserve"> - </v>
      </c>
      <c r="L45" s="64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7"/>
      <c r="BR45" s="57"/>
      <c r="BS45" s="57"/>
    </row>
    <row r="46" spans="1:71" s="54" customFormat="1" ht="18" x14ac:dyDescent="0.3">
      <c r="A46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7.3</v>
      </c>
      <c r="B46" s="56" t="s">
        <v>862</v>
      </c>
      <c r="C46" s="57" t="s">
        <v>837</v>
      </c>
      <c r="D46" s="58" t="e">
        <f>COUNTIFS(#REF!,$B46,#REF!,$B$43,#REF!,"ใช้งาน")</f>
        <v>#REF!</v>
      </c>
      <c r="E46" s="58" t="e">
        <f>COUNTIFS(#REF!,$B46,#REF!,$B$43,#REF!,Dashboard!$E$7)</f>
        <v>#REF!</v>
      </c>
      <c r="F46" s="58"/>
      <c r="G46" s="59"/>
      <c r="H46" s="60" t="str">
        <f t="shared" si="5"/>
        <v xml:space="preserve"> - </v>
      </c>
      <c r="I46" s="61">
        <v>1</v>
      </c>
      <c r="J46" s="62" t="e">
        <f t="shared" si="25"/>
        <v>#REF!</v>
      </c>
      <c r="K46" s="63" t="str">
        <f t="shared" si="6"/>
        <v xml:space="preserve"> - </v>
      </c>
      <c r="L46" s="64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7"/>
      <c r="BR46" s="57"/>
      <c r="BS46" s="57"/>
    </row>
    <row r="47" spans="1:71" s="54" customFormat="1" ht="18" x14ac:dyDescent="0.3">
      <c r="A47" s="109" t="str">
        <f>IF(ISERROR(VALUE(SUBSTITUTE(prevWBS,".",""))),"1",IF(ISERROR(FIND("`",SUBSTITUTE(prevWBS,".","`",1))),TEXT(VALUE(prevWBS)+1,"#"),TEXT(VALUE(LEFT(prevWBS,FIND("`",SUBSTITUTE(prevWBS,".","`",1))-1))+1,"#")))</f>
        <v>8</v>
      </c>
      <c r="B47" s="110" t="s">
        <v>863</v>
      </c>
      <c r="C47" s="111"/>
      <c r="D47" s="112" t="e">
        <f>SUM(D48:D62)</f>
        <v>#REF!</v>
      </c>
      <c r="E47" s="112" t="e">
        <f>SUM(E48:E62)</f>
        <v>#REF!</v>
      </c>
      <c r="F47" s="146" t="e">
        <f>SUM(F48:F62)</f>
        <v>#REF!</v>
      </c>
      <c r="G47" s="113"/>
      <c r="H47" s="114" t="str">
        <f>IF(ISBLANK(G47)," - ",IF(I47=0,G47,G47+I47-1))</f>
        <v xml:space="preserve"> - </v>
      </c>
      <c r="I47" s="115"/>
      <c r="J47" s="116"/>
      <c r="K47" s="117" t="str">
        <f>IF(OR(H47=0,G47=0)," - ",NETWORKDAYS(G47,H47))</f>
        <v xml:space="preserve"> - </v>
      </c>
      <c r="L47" s="118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20"/>
      <c r="BR47" s="120"/>
      <c r="BS47" s="120"/>
    </row>
    <row r="48" spans="1:71" s="54" customFormat="1" ht="18" x14ac:dyDescent="0.3">
      <c r="A48" s="55" t="str">
        <f t="shared" ref="A48:A62" si="26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8.1</v>
      </c>
      <c r="B48" s="56" t="s">
        <v>839</v>
      </c>
      <c r="C48" s="57" t="s">
        <v>837</v>
      </c>
      <c r="D48" s="58" t="e">
        <f>COUNTIFS(#REF!,$B48,#REF!,$B$47,#REF!,"ใช้งาน")</f>
        <v>#REF!</v>
      </c>
      <c r="E48" s="58" t="e">
        <f>COUNTIFS(#REF!,$B48,#REF!,$B$47,#REF!,Dashboard!$E$7)</f>
        <v>#REF!</v>
      </c>
      <c r="F48" s="58" t="e">
        <f>D48-E48</f>
        <v>#REF!</v>
      </c>
      <c r="G48" s="59">
        <v>45859</v>
      </c>
      <c r="H48" s="60">
        <f>IF(ISBLANK(G48)," - ",IF(I48=0,G48,G48+I48-1))</f>
        <v>45863</v>
      </c>
      <c r="I48" s="61">
        <v>5</v>
      </c>
      <c r="J48" s="62" t="e">
        <f t="shared" si="25"/>
        <v>#REF!</v>
      </c>
      <c r="K48" s="63">
        <f t="shared" ref="K48" si="27">IF(OR(H48=0,G48=0)," - ",NETWORKDAYS(G48,H48))</f>
        <v>5</v>
      </c>
      <c r="L48" s="64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7"/>
      <c r="BR48" s="57"/>
      <c r="BS48" s="57"/>
    </row>
    <row r="49" spans="1:79" s="54" customFormat="1" ht="18" x14ac:dyDescent="0.3">
      <c r="A49" s="55" t="str">
        <f t="shared" si="26"/>
        <v>8.2</v>
      </c>
      <c r="B49" s="56" t="s">
        <v>840</v>
      </c>
      <c r="C49" s="57" t="s">
        <v>837</v>
      </c>
      <c r="D49" s="58" t="e">
        <f>COUNTIFS(#REF!,$B49,#REF!,$B$47,#REF!,"ใช้งาน")</f>
        <v>#REF!</v>
      </c>
      <c r="E49" s="58" t="e">
        <f>COUNTIFS(#REF!,$B49,#REF!,$B$47,#REF!,Dashboard!$E$7)</f>
        <v>#REF!</v>
      </c>
      <c r="F49" s="58" t="e">
        <f t="shared" ref="F49:F62" si="28">D49-E49</f>
        <v>#REF!</v>
      </c>
      <c r="G49" s="59">
        <v>45866</v>
      </c>
      <c r="H49" s="60">
        <f>IF(ISBLANK(G49)," - ",IF(I49=0,G49,G49+I49-1))</f>
        <v>45891</v>
      </c>
      <c r="I49" s="61">
        <v>26</v>
      </c>
      <c r="J49" s="62" t="e">
        <f t="shared" si="25"/>
        <v>#REF!</v>
      </c>
      <c r="K49" s="63">
        <f>IF(OR(H49=0,G49=0)," - ",NETWORKDAYS(G49,H49))</f>
        <v>20</v>
      </c>
      <c r="L49" s="64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7"/>
      <c r="BR49" s="57"/>
      <c r="BS49" s="57"/>
    </row>
    <row r="50" spans="1:79" s="54" customFormat="1" ht="18" x14ac:dyDescent="0.3">
      <c r="A50" s="55" t="str">
        <f t="shared" si="26"/>
        <v>8.3</v>
      </c>
      <c r="B50" s="56" t="s">
        <v>844</v>
      </c>
      <c r="C50" s="57" t="s">
        <v>837</v>
      </c>
      <c r="D50" s="58" t="e">
        <f>COUNTIFS(#REF!,$B50,#REF!,$B$47,#REF!,"ใช้งาน")</f>
        <v>#REF!</v>
      </c>
      <c r="E50" s="58" t="e">
        <f>COUNTIFS(#REF!,$B50,#REF!,$B$47,#REF!,Dashboard!$E$7)</f>
        <v>#REF!</v>
      </c>
      <c r="F50" s="58" t="e">
        <f t="shared" si="28"/>
        <v>#REF!</v>
      </c>
      <c r="G50" s="59">
        <v>45894</v>
      </c>
      <c r="H50" s="60">
        <f t="shared" ref="H50:H65" si="29">IF(ISBLANK(G50)," - ",IF(I50=0,G50,G50+I50-1))</f>
        <v>45895</v>
      </c>
      <c r="I50" s="61">
        <v>2</v>
      </c>
      <c r="J50" s="62" t="e">
        <f t="shared" si="25"/>
        <v>#REF!</v>
      </c>
      <c r="K50" s="63">
        <f t="shared" ref="K50:K65" si="30">IF(OR(H50=0,G50=0)," - ",NETWORKDAYS(G50,H50))</f>
        <v>2</v>
      </c>
      <c r="L50" s="64"/>
      <c r="M50" s="55"/>
      <c r="N50" s="55"/>
      <c r="O50" s="6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7"/>
      <c r="BR50" s="57"/>
      <c r="BS50" s="57"/>
    </row>
    <row r="51" spans="1:79" s="54" customFormat="1" ht="18" x14ac:dyDescent="0.3">
      <c r="A51" s="55" t="str">
        <f t="shared" si="26"/>
        <v>8.4</v>
      </c>
      <c r="B51" s="56" t="s">
        <v>836</v>
      </c>
      <c r="C51" s="57" t="s">
        <v>837</v>
      </c>
      <c r="D51" s="58" t="e">
        <f>COUNTIFS(#REF!,$B51,#REF!,$B$47,#REF!,"ใช้งาน")</f>
        <v>#REF!</v>
      </c>
      <c r="E51" s="58" t="e">
        <f>COUNTIFS(#REF!,$B51,#REF!,$B$47,#REF!,Dashboard!$E$7)</f>
        <v>#REF!</v>
      </c>
      <c r="F51" s="58" t="e">
        <f t="shared" si="28"/>
        <v>#REF!</v>
      </c>
      <c r="G51" s="59">
        <v>45896</v>
      </c>
      <c r="H51" s="60">
        <f t="shared" si="29"/>
        <v>45905</v>
      </c>
      <c r="I51" s="61">
        <v>10</v>
      </c>
      <c r="J51" s="62" t="e">
        <f t="shared" si="25"/>
        <v>#REF!</v>
      </c>
      <c r="K51" s="63">
        <f t="shared" si="30"/>
        <v>8</v>
      </c>
      <c r="L51" s="64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7"/>
      <c r="BR51" s="57"/>
      <c r="BS51" s="57"/>
    </row>
    <row r="52" spans="1:79" s="54" customFormat="1" ht="18" x14ac:dyDescent="0.3">
      <c r="A52" s="55" t="str">
        <f t="shared" si="26"/>
        <v>8.5</v>
      </c>
      <c r="B52" s="56" t="s">
        <v>838</v>
      </c>
      <c r="C52" s="57" t="s">
        <v>837</v>
      </c>
      <c r="D52" s="58" t="e">
        <f>COUNTIFS(#REF!,$B52,#REF!,$B$47,#REF!,"ใช้งาน")</f>
        <v>#REF!</v>
      </c>
      <c r="E52" s="58" t="e">
        <f>COUNTIFS(#REF!,$B52,#REF!,$B$47,#REF!,Dashboard!$E$7)</f>
        <v>#REF!</v>
      </c>
      <c r="F52" s="58" t="e">
        <f t="shared" si="28"/>
        <v>#REF!</v>
      </c>
      <c r="G52" s="59">
        <v>45908</v>
      </c>
      <c r="H52" s="60">
        <f t="shared" si="29"/>
        <v>45912</v>
      </c>
      <c r="I52" s="61">
        <v>5</v>
      </c>
      <c r="J52" s="62" t="e">
        <f t="shared" si="25"/>
        <v>#REF!</v>
      </c>
      <c r="K52" s="63">
        <f t="shared" si="30"/>
        <v>5</v>
      </c>
      <c r="L52" s="64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7"/>
      <c r="BR52" s="57"/>
      <c r="BS52" s="57"/>
    </row>
    <row r="53" spans="1:79" s="54" customFormat="1" ht="18" x14ac:dyDescent="0.3">
      <c r="A53" s="55" t="str">
        <f t="shared" si="26"/>
        <v>8.6</v>
      </c>
      <c r="B53" s="56" t="s">
        <v>854</v>
      </c>
      <c r="C53" s="57" t="s">
        <v>837</v>
      </c>
      <c r="D53" s="58" t="e">
        <f>COUNTIFS(#REF!,$B53,#REF!,$B$47,#REF!,"ใช้งาน")</f>
        <v>#REF!</v>
      </c>
      <c r="E53" s="58" t="e">
        <f>COUNTIFS(#REF!,$B53,#REF!,$B$47,#REF!,Dashboard!$E$7)</f>
        <v>#REF!</v>
      </c>
      <c r="F53" s="58" t="e">
        <f t="shared" si="28"/>
        <v>#REF!</v>
      </c>
      <c r="G53" s="59">
        <v>45915</v>
      </c>
      <c r="H53" s="60">
        <f t="shared" si="29"/>
        <v>45917</v>
      </c>
      <c r="I53" s="61">
        <v>3</v>
      </c>
      <c r="J53" s="62" t="e">
        <f t="shared" si="25"/>
        <v>#REF!</v>
      </c>
      <c r="K53" s="63">
        <f t="shared" si="30"/>
        <v>3</v>
      </c>
      <c r="L53" s="64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7"/>
      <c r="BR53" s="57"/>
      <c r="BS53" s="57"/>
      <c r="CA53" s="138"/>
    </row>
    <row r="54" spans="1:79" s="54" customFormat="1" ht="18" x14ac:dyDescent="0.3">
      <c r="A54" s="55" t="str">
        <f t="shared" si="26"/>
        <v>8.7</v>
      </c>
      <c r="B54" s="56" t="s">
        <v>847</v>
      </c>
      <c r="C54" s="57" t="s">
        <v>837</v>
      </c>
      <c r="D54" s="58" t="e">
        <f>COUNTIFS(#REF!,$B54,#REF!,$B$47,#REF!,"ใช้งาน")</f>
        <v>#REF!</v>
      </c>
      <c r="E54" s="58" t="e">
        <f>COUNTIFS(#REF!,$B54,#REF!,$B$47,#REF!,Dashboard!$E$7)</f>
        <v>#REF!</v>
      </c>
      <c r="F54" s="58" t="e">
        <f t="shared" si="28"/>
        <v>#REF!</v>
      </c>
      <c r="G54" s="59">
        <v>45918</v>
      </c>
      <c r="H54" s="60">
        <f t="shared" si="29"/>
        <v>45920</v>
      </c>
      <c r="I54" s="61">
        <v>3</v>
      </c>
      <c r="J54" s="62" t="e">
        <f t="shared" si="25"/>
        <v>#REF!</v>
      </c>
      <c r="K54" s="63">
        <f t="shared" si="30"/>
        <v>2</v>
      </c>
      <c r="L54" s="64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7"/>
      <c r="BR54" s="57"/>
      <c r="BS54" s="57"/>
    </row>
    <row r="55" spans="1:79" s="54" customFormat="1" ht="18" x14ac:dyDescent="0.3">
      <c r="A55" s="55" t="str">
        <f t="shared" si="26"/>
        <v>8.8</v>
      </c>
      <c r="B55" s="56" t="s">
        <v>843</v>
      </c>
      <c r="C55" s="57" t="s">
        <v>837</v>
      </c>
      <c r="D55" s="58" t="e">
        <f>COUNTIFS(#REF!,$B55,#REF!,$B$47,#REF!,"ใช้งาน")</f>
        <v>#REF!</v>
      </c>
      <c r="E55" s="58" t="e">
        <f>COUNTIFS(#REF!,$B55,#REF!,$B$47,#REF!,Dashboard!$E$7)</f>
        <v>#REF!</v>
      </c>
      <c r="F55" s="58" t="e">
        <f t="shared" si="28"/>
        <v>#REF!</v>
      </c>
      <c r="G55" s="59">
        <v>45922</v>
      </c>
      <c r="H55" s="60">
        <f t="shared" si="29"/>
        <v>45922</v>
      </c>
      <c r="I55" s="61">
        <v>1</v>
      </c>
      <c r="J55" s="62" t="e">
        <f t="shared" si="25"/>
        <v>#REF!</v>
      </c>
      <c r="K55" s="63">
        <f t="shared" si="30"/>
        <v>1</v>
      </c>
      <c r="L55" s="64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7"/>
      <c r="BR55" s="57"/>
      <c r="BS55" s="57"/>
    </row>
    <row r="56" spans="1:79" s="54" customFormat="1" ht="18" x14ac:dyDescent="0.3">
      <c r="A56" s="55" t="str">
        <f t="shared" si="26"/>
        <v>8.9</v>
      </c>
      <c r="B56" s="56" t="s">
        <v>858</v>
      </c>
      <c r="C56" s="57" t="s">
        <v>837</v>
      </c>
      <c r="D56" s="58" t="e">
        <f>COUNTIFS(#REF!,$B56,#REF!,$B$47,#REF!,"ใช้งาน")</f>
        <v>#REF!</v>
      </c>
      <c r="E56" s="58" t="e">
        <f>COUNTIFS(#REF!,$B56,#REF!,$B$47,#REF!,Dashboard!$E$7)</f>
        <v>#REF!</v>
      </c>
      <c r="F56" s="58" t="e">
        <f t="shared" si="28"/>
        <v>#REF!</v>
      </c>
      <c r="G56" s="59">
        <v>45922</v>
      </c>
      <c r="H56" s="60">
        <f t="shared" si="29"/>
        <v>45922</v>
      </c>
      <c r="I56" s="61">
        <v>1</v>
      </c>
      <c r="J56" s="62" t="e">
        <f t="shared" si="25"/>
        <v>#REF!</v>
      </c>
      <c r="K56" s="63">
        <f t="shared" si="30"/>
        <v>1</v>
      </c>
      <c r="L56" s="64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7"/>
      <c r="BR56" s="57"/>
      <c r="BS56" s="57"/>
    </row>
    <row r="57" spans="1:79" s="54" customFormat="1" ht="18" x14ac:dyDescent="0.3">
      <c r="A57" s="55" t="str">
        <f t="shared" si="26"/>
        <v>8.10</v>
      </c>
      <c r="B57" s="56" t="s">
        <v>864</v>
      </c>
      <c r="C57" s="57" t="s">
        <v>837</v>
      </c>
      <c r="D57" s="58" t="e">
        <f>COUNTIFS(#REF!,$B57,#REF!,$B$47,#REF!,"ใช้งาน")</f>
        <v>#REF!</v>
      </c>
      <c r="E57" s="58" t="e">
        <f>COUNTIFS(#REF!,$B57,#REF!,$B$47,#REF!,Dashboard!$E$7)</f>
        <v>#REF!</v>
      </c>
      <c r="F57" s="58" t="e">
        <f t="shared" si="28"/>
        <v>#REF!</v>
      </c>
      <c r="G57" s="59">
        <v>45923</v>
      </c>
      <c r="H57" s="60">
        <f t="shared" si="29"/>
        <v>45925</v>
      </c>
      <c r="I57" s="66">
        <v>3</v>
      </c>
      <c r="J57" s="62" t="e">
        <f t="shared" si="25"/>
        <v>#REF!</v>
      </c>
      <c r="K57" s="63">
        <f t="shared" si="30"/>
        <v>3</v>
      </c>
      <c r="L57" s="67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7"/>
      <c r="BR57" s="57"/>
      <c r="BS57" s="57"/>
    </row>
    <row r="58" spans="1:79" s="54" customFormat="1" ht="18" x14ac:dyDescent="0.3">
      <c r="A58" s="55" t="str">
        <f t="shared" si="26"/>
        <v>8.11</v>
      </c>
      <c r="B58" s="56" t="s">
        <v>865</v>
      </c>
      <c r="C58" s="57" t="s">
        <v>837</v>
      </c>
      <c r="D58" s="58" t="e">
        <f>COUNTIFS(#REF!,$B58,#REF!,$B$47,#REF!,"ใช้งาน")</f>
        <v>#REF!</v>
      </c>
      <c r="E58" s="58" t="e">
        <f>COUNTIFS(#REF!,$B58,#REF!,$B$47,#REF!,Dashboard!$E$7)</f>
        <v>#REF!</v>
      </c>
      <c r="F58" s="58" t="e">
        <f t="shared" si="28"/>
        <v>#REF!</v>
      </c>
      <c r="G58" s="59">
        <v>45926</v>
      </c>
      <c r="H58" s="60">
        <f t="shared" si="29"/>
        <v>45926</v>
      </c>
      <c r="I58" s="66">
        <v>1</v>
      </c>
      <c r="J58" s="62" t="e">
        <f t="shared" si="25"/>
        <v>#REF!</v>
      </c>
      <c r="K58" s="63">
        <f t="shared" si="30"/>
        <v>1</v>
      </c>
      <c r="L58" s="67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7"/>
      <c r="BR58" s="57"/>
      <c r="BS58" s="57"/>
    </row>
    <row r="59" spans="1:79" s="54" customFormat="1" ht="18" x14ac:dyDescent="0.3">
      <c r="A59" s="55" t="str">
        <f t="shared" si="26"/>
        <v>8.12</v>
      </c>
      <c r="B59" s="56" t="s">
        <v>866</v>
      </c>
      <c r="C59" s="57" t="s">
        <v>837</v>
      </c>
      <c r="D59" s="58" t="e">
        <f>COUNTIFS(#REF!,$B59,#REF!,$B$47,#REF!,"ใช้งาน")</f>
        <v>#REF!</v>
      </c>
      <c r="E59" s="58" t="e">
        <f>COUNTIFS(#REF!,$B59,#REF!,$B$47,#REF!,Dashboard!$E$7)</f>
        <v>#REF!</v>
      </c>
      <c r="F59" s="58" t="e">
        <f t="shared" si="28"/>
        <v>#REF!</v>
      </c>
      <c r="G59" s="59">
        <v>45926</v>
      </c>
      <c r="H59" s="60">
        <f t="shared" si="29"/>
        <v>45926</v>
      </c>
      <c r="I59" s="66">
        <v>1</v>
      </c>
      <c r="J59" s="62" t="e">
        <f t="shared" si="25"/>
        <v>#REF!</v>
      </c>
      <c r="K59" s="63">
        <f t="shared" si="30"/>
        <v>1</v>
      </c>
      <c r="L59" s="67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7"/>
      <c r="BR59" s="57"/>
      <c r="BS59" s="57"/>
    </row>
    <row r="60" spans="1:79" s="54" customFormat="1" ht="18" x14ac:dyDescent="0.3">
      <c r="A60" s="55" t="str">
        <f t="shared" si="26"/>
        <v>8.13</v>
      </c>
      <c r="B60" s="56" t="s">
        <v>846</v>
      </c>
      <c r="C60" s="57" t="s">
        <v>837</v>
      </c>
      <c r="D60" s="58" t="e">
        <f>COUNTIFS(#REF!,$B60,#REF!,$B$47,#REF!,"ใช้งาน")</f>
        <v>#REF!</v>
      </c>
      <c r="E60" s="58" t="e">
        <f>COUNTIFS(#REF!,$B60,#REF!,$B$47,#REF!,Dashboard!$E$7)</f>
        <v>#REF!</v>
      </c>
      <c r="F60" s="58" t="e">
        <f t="shared" si="28"/>
        <v>#REF!</v>
      </c>
      <c r="G60" s="59">
        <v>45929</v>
      </c>
      <c r="H60" s="60">
        <f t="shared" si="29"/>
        <v>45930</v>
      </c>
      <c r="I60" s="66">
        <v>2</v>
      </c>
      <c r="J60" s="62" t="e">
        <f t="shared" si="25"/>
        <v>#REF!</v>
      </c>
      <c r="K60" s="63">
        <f t="shared" si="30"/>
        <v>2</v>
      </c>
      <c r="L60" s="67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7"/>
      <c r="BR60" s="57"/>
      <c r="BS60" s="57"/>
    </row>
    <row r="61" spans="1:79" s="54" customFormat="1" ht="18" x14ac:dyDescent="0.3">
      <c r="A61" s="55" t="str">
        <f t="shared" si="26"/>
        <v>8.14</v>
      </c>
      <c r="B61" s="57" t="s">
        <v>867</v>
      </c>
      <c r="C61" s="57" t="s">
        <v>837</v>
      </c>
      <c r="D61" s="58" t="e">
        <f>COUNTIFS(#REF!,$B61,#REF!,$B$47,#REF!,"ใช้งาน")</f>
        <v>#REF!</v>
      </c>
      <c r="E61" s="58" t="e">
        <f>COUNTIFS(#REF!,$B61,#REF!,$B$47,#REF!,Dashboard!$E$7)</f>
        <v>#REF!</v>
      </c>
      <c r="F61" s="58" t="e">
        <f t="shared" si="28"/>
        <v>#REF!</v>
      </c>
      <c r="G61" s="59">
        <v>45930</v>
      </c>
      <c r="H61" s="60">
        <f t="shared" si="29"/>
        <v>45930</v>
      </c>
      <c r="I61" s="66">
        <v>1</v>
      </c>
      <c r="J61" s="62" t="e">
        <f t="shared" si="25"/>
        <v>#REF!</v>
      </c>
      <c r="K61" s="63">
        <f t="shared" si="30"/>
        <v>1</v>
      </c>
      <c r="L61" s="121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122"/>
      <c r="BR61" s="122"/>
      <c r="BS61" s="122"/>
    </row>
    <row r="62" spans="1:79" s="54" customFormat="1" ht="18" x14ac:dyDescent="0.3">
      <c r="A62" s="55" t="str">
        <f t="shared" si="26"/>
        <v>8.15</v>
      </c>
      <c r="B62" s="57" t="s">
        <v>855</v>
      </c>
      <c r="C62" s="57" t="s">
        <v>837</v>
      </c>
      <c r="D62" s="58" t="e">
        <f>COUNTIFS(#REF!,$B62,#REF!,$B$47,#REF!,"ใช้งาน")</f>
        <v>#REF!</v>
      </c>
      <c r="E62" s="58" t="e">
        <f>COUNTIFS(#REF!,$B62,#REF!,$B$47,#REF!,Dashboard!$E$7)</f>
        <v>#REF!</v>
      </c>
      <c r="F62" s="58" t="e">
        <f t="shared" si="28"/>
        <v>#REF!</v>
      </c>
      <c r="G62" s="59">
        <v>45930</v>
      </c>
      <c r="H62" s="60">
        <f t="shared" si="29"/>
        <v>45930</v>
      </c>
      <c r="I62" s="66">
        <v>1</v>
      </c>
      <c r="J62" s="62" t="e">
        <f t="shared" si="25"/>
        <v>#REF!</v>
      </c>
      <c r="K62" s="63">
        <f t="shared" si="30"/>
        <v>1</v>
      </c>
      <c r="L62" s="121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122"/>
      <c r="BR62" s="122"/>
      <c r="BS62" s="122"/>
    </row>
    <row r="63" spans="1:79" s="54" customFormat="1" ht="18" x14ac:dyDescent="0.3">
      <c r="A63" s="123" t="str">
        <f>IF(ISERROR(VALUE(SUBSTITUTE(prevWBS,".",""))),"1",IF(ISERROR(FIND("`",SUBSTITUTE(prevWBS,".","`",1))),TEXT(VALUE(prevWBS)+1,"#"),TEXT(VALUE(LEFT(prevWBS,FIND("`",SUBSTITUTE(prevWBS,".","`",1))-1))+1,"#")))</f>
        <v>9</v>
      </c>
      <c r="B63" s="124" t="s">
        <v>868</v>
      </c>
      <c r="C63" s="125"/>
      <c r="D63" s="126" t="e">
        <f>SUM(D64)</f>
        <v>#REF!</v>
      </c>
      <c r="E63" s="126"/>
      <c r="F63" s="151"/>
      <c r="G63" s="127"/>
      <c r="H63" s="127" t="str">
        <f t="shared" si="29"/>
        <v xml:space="preserve"> - </v>
      </c>
      <c r="I63" s="128"/>
      <c r="J63" s="129"/>
      <c r="K63" s="130" t="str">
        <f t="shared" si="30"/>
        <v xml:space="preserve"> - </v>
      </c>
      <c r="L63" s="131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2"/>
      <c r="BK63" s="132"/>
      <c r="BL63" s="132"/>
      <c r="BM63" s="132"/>
      <c r="BN63" s="132"/>
      <c r="BO63" s="132"/>
      <c r="BP63" s="132"/>
      <c r="BQ63" s="125"/>
      <c r="BR63" s="125"/>
      <c r="BS63" s="125"/>
    </row>
    <row r="64" spans="1:79" s="54" customFormat="1" ht="18" x14ac:dyDescent="0.3">
      <c r="A64" s="55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9.1</v>
      </c>
      <c r="B64" s="56" t="s">
        <v>868</v>
      </c>
      <c r="C64" s="57" t="s">
        <v>837</v>
      </c>
      <c r="D64" s="58" t="e">
        <f>COUNTIFS(#REF!,$B64,#REF!,$B$63,#REF!,"ใช้งาน")</f>
        <v>#REF!</v>
      </c>
      <c r="E64" s="58" t="e">
        <f>COUNTIFS(#REF!,$B64,#REF!,$B$63,#REF!,Dashboard!$E$7)</f>
        <v>#REF!</v>
      </c>
      <c r="F64" s="58" t="e">
        <f>D64-E64</f>
        <v>#REF!</v>
      </c>
      <c r="G64" s="59"/>
      <c r="H64" s="60" t="str">
        <f t="shared" si="29"/>
        <v xml:space="preserve"> - </v>
      </c>
      <c r="I64" s="61"/>
      <c r="J64" s="62" t="e">
        <f t="shared" si="25"/>
        <v>#REF!</v>
      </c>
      <c r="K64" s="63" t="str">
        <f t="shared" si="30"/>
        <v xml:space="preserve"> - </v>
      </c>
      <c r="L64" s="64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7"/>
      <c r="BR64" s="57"/>
      <c r="BS64" s="57"/>
    </row>
    <row r="65" spans="1:71" s="54" customFormat="1" ht="18" x14ac:dyDescent="0.3">
      <c r="A65" s="123" t="str">
        <f>IF(ISERROR(VALUE(SUBSTITUTE(prevWBS,".",""))),"1",IF(ISERROR(FIND("`",SUBSTITUTE(prevWBS,".","`",1))),TEXT(VALUE(prevWBS)+1,"#"),TEXT(VALUE(LEFT(prevWBS,FIND("`",SUBSTITUTE(prevWBS,".","`",1))-1))+1,"#")))</f>
        <v>10</v>
      </c>
      <c r="B65" s="124"/>
      <c r="C65" s="125"/>
      <c r="D65" s="126"/>
      <c r="E65" s="126"/>
      <c r="F65" s="126"/>
      <c r="G65" s="127"/>
      <c r="H65" s="127" t="str">
        <f t="shared" si="29"/>
        <v xml:space="preserve"> - </v>
      </c>
      <c r="I65" s="128"/>
      <c r="J65" s="129"/>
      <c r="K65" s="130" t="str">
        <f t="shared" si="30"/>
        <v xml:space="preserve"> - </v>
      </c>
      <c r="L65" s="131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22"/>
      <c r="BR65" s="122"/>
      <c r="BS65" s="122"/>
    </row>
  </sheetData>
  <mergeCells count="21">
    <mergeCell ref="BJ4:BP4"/>
    <mergeCell ref="M5:S5"/>
    <mergeCell ref="T5:Z5"/>
    <mergeCell ref="AA5:AG5"/>
    <mergeCell ref="AH5:AN5"/>
    <mergeCell ref="AO5:AU5"/>
    <mergeCell ref="AV5:BB5"/>
    <mergeCell ref="BC5:BI5"/>
    <mergeCell ref="BJ5:BP5"/>
    <mergeCell ref="AO4:AU4"/>
    <mergeCell ref="AV4:BB4"/>
    <mergeCell ref="BC4:BI4"/>
    <mergeCell ref="M4:S4"/>
    <mergeCell ref="T4:Z4"/>
    <mergeCell ref="AA4:AG4"/>
    <mergeCell ref="AH4:AN4"/>
    <mergeCell ref="A1:D1"/>
    <mergeCell ref="I1:J1"/>
    <mergeCell ref="A2:D2"/>
    <mergeCell ref="I2:J2"/>
    <mergeCell ref="C4:G4"/>
  </mergeCells>
  <conditionalFormatting sqref="J8:J65">
    <cfRule type="dataBar" priority="3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{A99D2083-5550-405F-8777-B6F9D06C8290}</x14:id>
        </ext>
      </extLst>
    </cfRule>
  </conditionalFormatting>
  <conditionalFormatting sqref="M6:BP7">
    <cfRule type="expression" dxfId="5" priority="1">
      <formula>M$7="S"</formula>
    </cfRule>
    <cfRule type="expression" dxfId="4" priority="5">
      <formula>M$6=TODAY()</formula>
    </cfRule>
  </conditionalFormatting>
  <conditionalFormatting sqref="M6:BP65">
    <cfRule type="expression" dxfId="3" priority="2">
      <formula>M$7="S"</formula>
    </cfRule>
    <cfRule type="expression" dxfId="2" priority="4">
      <formula>M$6=TODAY()</formula>
    </cfRule>
  </conditionalFormatting>
  <conditionalFormatting sqref="M8:BP65">
    <cfRule type="expression" dxfId="1" priority="6">
      <formula>AND($G8&lt;=M$6,ROUNDDOWN(($H8-$G8+1)*$J8,0)+$G8-1&gt;=M$6)</formula>
    </cfRule>
    <cfRule type="expression" dxfId="0" priority="7">
      <formula>AND(NOT(ISBLANK($G8)),$G8&lt;=M$6,$H8&gt;=M$6)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J4" xr:uid="{1CF5DD67-6880-4C66-AD51-6C6344C404A4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9D2083-5550-405F-8777-B6F9D06C82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J8:J65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Dashboard</vt:lpstr>
      <vt:lpstr>Dashboard!prevWBS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Watchara Kidsoda</cp:lastModifiedBy>
  <cp:revision/>
  <dcterms:created xsi:type="dcterms:W3CDTF">2025-07-23T04:35:09Z</dcterms:created>
  <dcterms:modified xsi:type="dcterms:W3CDTF">2026-05-11T01:37:48Z</dcterms:modified>
  <cp:category/>
  <cp:contentStatus/>
</cp:coreProperties>
</file>